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5F0CF99F-0457-4F23-A111-B1E7CC5F34F1}" xr6:coauthVersionLast="47" xr6:coauthVersionMax="47" xr10:uidLastSave="{00000000-0000-0000-0000-000000000000}"/>
  <bookViews>
    <workbookView xWindow="86297" yWindow="1654" windowWidth="29006" windowHeight="16406" xr2:uid="{98242F84-BC51-49C4-B7C6-D260535043A8}"/>
  </bookViews>
  <sheets>
    <sheet name="Summary" sheetId="1" r:id="rId1"/>
  </sheets>
  <definedNames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45855.7536111111</definedName>
    <definedName name="IQ_QTD" hidden="1">750000</definedName>
    <definedName name="IQ_TODAY" hidden="1">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12" i="1"/>
  <c r="O26" i="1"/>
  <c r="O25" i="1" s="1"/>
  <c r="I12" i="1"/>
  <c r="I11" i="1" s="1"/>
  <c r="H12" i="1"/>
  <c r="H11" i="1" s="1"/>
  <c r="G25" i="1"/>
  <c r="I25" i="1"/>
  <c r="N26" i="1"/>
  <c r="M26" i="1"/>
  <c r="L26" i="1"/>
  <c r="K26" i="1"/>
  <c r="H25" i="1"/>
  <c r="N25" i="1"/>
  <c r="M25" i="1"/>
  <c r="M11" i="1" s="1"/>
  <c r="M3" i="1" s="1"/>
  <c r="L25" i="1"/>
  <c r="K25" i="1"/>
  <c r="J25" i="1"/>
  <c r="F25" i="1"/>
  <c r="K23" i="1"/>
  <c r="F18" i="1"/>
  <c r="G12" i="1"/>
  <c r="G11" i="1" s="1"/>
  <c r="F12" i="1"/>
  <c r="F11" i="1" s="1"/>
  <c r="K14" i="1"/>
  <c r="J14" i="1"/>
  <c r="J12" i="1" s="1"/>
  <c r="J11" i="1" s="1"/>
  <c r="J3" i="1" s="1"/>
  <c r="N12" i="1"/>
  <c r="N11" i="1" s="1"/>
  <c r="N3" i="1" s="1"/>
  <c r="M12" i="1"/>
  <c r="L12" i="1"/>
  <c r="K12" i="1"/>
  <c r="L11" i="1"/>
  <c r="L3" i="1" s="1"/>
  <c r="I5" i="1"/>
  <c r="H5" i="1"/>
  <c r="G5" i="1"/>
  <c r="N5" i="1"/>
  <c r="M5" i="1"/>
  <c r="L5" i="1"/>
  <c r="K5" i="1"/>
  <c r="J5" i="1"/>
  <c r="K11" i="1" l="1"/>
  <c r="K3" i="1" s="1"/>
  <c r="O11" i="1"/>
  <c r="O3" i="1" s="1"/>
  <c r="F5" i="1"/>
  <c r="F3" i="1" s="1"/>
  <c r="G3" i="1"/>
  <c r="I3" i="1"/>
  <c r="H3" i="1"/>
</calcChain>
</file>

<file path=xl/sharedStrings.xml><?xml version="1.0" encoding="utf-8"?>
<sst xmlns="http://schemas.openxmlformats.org/spreadsheetml/2006/main" count="55" uniqueCount="38">
  <si>
    <t>Actual</t>
  </si>
  <si>
    <t>2021A</t>
  </si>
  <si>
    <t>2022A</t>
  </si>
  <si>
    <t>2023A</t>
  </si>
  <si>
    <t>2024A</t>
  </si>
  <si>
    <t>2025A</t>
  </si>
  <si>
    <t>2026E</t>
  </si>
  <si>
    <t>2027P</t>
  </si>
  <si>
    <t>2028P</t>
  </si>
  <si>
    <t>2029P</t>
  </si>
  <si>
    <t>Net cash movement from investement activities</t>
  </si>
  <si>
    <t>Investment (net cash flow)</t>
  </si>
  <si>
    <t>Shor-Term Loans</t>
  </si>
  <si>
    <t>Shor-Term Investment</t>
  </si>
  <si>
    <t>Investment in the related company</t>
  </si>
  <si>
    <t>Others</t>
  </si>
  <si>
    <t>CAPEX (cash out)</t>
  </si>
  <si>
    <t>Expansion/Improvement CAPEX</t>
  </si>
  <si>
    <t>Open date</t>
  </si>
  <si>
    <t>Close date</t>
  </si>
  <si>
    <t>Bonchon International</t>
  </si>
  <si>
    <t>Office &amp; Supporting HC</t>
  </si>
  <si>
    <t>Bonchon USA - HQ</t>
  </si>
  <si>
    <t>Software</t>
  </si>
  <si>
    <t>Towson, MD</t>
  </si>
  <si>
    <t>Buildout costs</t>
  </si>
  <si>
    <t>Addison, TX</t>
  </si>
  <si>
    <t>Allston, MA</t>
  </si>
  <si>
    <t>Acquisition cost</t>
  </si>
  <si>
    <t>Remodeling &amp; Equipment Improvement</t>
  </si>
  <si>
    <t>38th, NY</t>
  </si>
  <si>
    <t>Equipment Improvement</t>
  </si>
  <si>
    <t>23rd, NY</t>
  </si>
  <si>
    <t>Frisco, TX</t>
  </si>
  <si>
    <t>New Equity Store</t>
  </si>
  <si>
    <t>Maintenance CAPEX</t>
  </si>
  <si>
    <t>Busan Plant</t>
  </si>
  <si>
    <t>2030P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</si>
</sst>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3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0" fontId="2" fillId="0" borderId="0" xfId="0" applyNumberFormat="1" applyFont="1" applyAlignment="1">
      <alignment horizontal="center"/>
    </xf>
    <xf numFmtId="0" fontId="5" fillId="0" borderId="0" xfId="0" applyFont="1" applyAlignment="1">
      <alignment vertical="top" wrapText="1" indent="2"/>
    </xf>
    <xf numFmtId="40" fontId="2" fillId="0" borderId="0" xfId="0" applyNumberFormat="1" applyFont="1"/>
    <xf numFmtId="0" fontId="5" fillId="3" borderId="0" xfId="0" applyFont="1" applyFill="1" applyAlignment="1">
      <alignment vertical="top" wrapText="1" indent="2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40" fontId="2" fillId="3" borderId="0" xfId="0" applyNumberFormat="1" applyFont="1" applyFill="1"/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2" fillId="0" borderId="1" xfId="0" applyFont="1" applyBorder="1"/>
    <xf numFmtId="4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63F6-08E8-4921-9FE3-3E8F86B407DD}">
  <dimension ref="B2:O69"/>
  <sheetViews>
    <sheetView showGridLines="0" tabSelected="1" workbookViewId="0"/>
  </sheetViews>
  <sheetFormatPr defaultColWidth="9.07421875" defaultRowHeight="14.6" x14ac:dyDescent="0.4"/>
  <cols>
    <col min="1" max="1" width="1.3828125" style="2" customWidth="1"/>
    <col min="2" max="2" width="35.07421875" style="2" customWidth="1"/>
    <col min="3" max="4" width="10.69140625" style="2" customWidth="1"/>
    <col min="5" max="5" width="34" style="2" customWidth="1"/>
    <col min="6" max="15" width="13" style="2" customWidth="1"/>
    <col min="16" max="16384" width="9.07421875" style="2"/>
  </cols>
  <sheetData>
    <row r="2" spans="2:15" ht="15.9" x14ac:dyDescent="0.45">
      <c r="B2" s="1" t="s">
        <v>0</v>
      </c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37</v>
      </c>
    </row>
    <row r="3" spans="2:15" s="7" customFormat="1" ht="18" customHeight="1" x14ac:dyDescent="0.4">
      <c r="B3" s="4" t="s">
        <v>10</v>
      </c>
      <c r="C3" s="5"/>
      <c r="D3" s="5"/>
      <c r="E3" s="5"/>
      <c r="F3" s="6">
        <f>F5+F11</f>
        <v>1334.6477800000002</v>
      </c>
      <c r="G3" s="6">
        <f t="shared" ref="G3:N3" si="0">G5+G11</f>
        <v>-11560.38854</v>
      </c>
      <c r="H3" s="6">
        <f t="shared" si="0"/>
        <v>2534.9934199999998</v>
      </c>
      <c r="I3" s="6">
        <f t="shared" si="0"/>
        <v>4715.61798</v>
      </c>
      <c r="J3" s="6">
        <f t="shared" si="0"/>
        <v>-352.18022351778677</v>
      </c>
      <c r="K3" s="6">
        <f t="shared" si="0"/>
        <v>-1409.2287852112677</v>
      </c>
      <c r="L3" s="6">
        <f t="shared" si="0"/>
        <v>-135.42253521126759</v>
      </c>
      <c r="M3" s="6">
        <f t="shared" si="0"/>
        <v>-135.42253521126759</v>
      </c>
      <c r="N3" s="6">
        <f t="shared" si="0"/>
        <v>-135.42253521126759</v>
      </c>
      <c r="O3" s="6">
        <f t="shared" ref="O3" si="1">O5+O11</f>
        <v>-135.42253521126759</v>
      </c>
    </row>
    <row r="4" spans="2:15" s="7" customFormat="1" ht="7.5" customHeight="1" x14ac:dyDescent="0.4">
      <c r="B4" s="8"/>
      <c r="F4" s="9"/>
      <c r="G4" s="9"/>
      <c r="H4" s="9"/>
      <c r="I4" s="9"/>
      <c r="J4" s="9"/>
      <c r="K4" s="9"/>
      <c r="L4" s="9"/>
      <c r="M4" s="9"/>
      <c r="N4" s="9"/>
      <c r="O4" s="9"/>
    </row>
    <row r="5" spans="2:15" s="7" customFormat="1" ht="18" customHeight="1" x14ac:dyDescent="0.4">
      <c r="B5" s="4" t="s">
        <v>11</v>
      </c>
      <c r="C5" s="5"/>
      <c r="D5" s="5"/>
      <c r="E5" s="5"/>
      <c r="F5" s="6">
        <f>SUM(F6:F10)</f>
        <v>4419.2511400000003</v>
      </c>
      <c r="G5" s="6">
        <f t="shared" ref="G5:N5" si="2">SUM(G6:G10)</f>
        <v>-9960.6415500000003</v>
      </c>
      <c r="H5" s="6">
        <f t="shared" si="2"/>
        <v>3308.69229</v>
      </c>
      <c r="I5" s="6">
        <f t="shared" si="2"/>
        <v>5175.8558499999999</v>
      </c>
      <c r="J5" s="6">
        <f t="shared" si="2"/>
        <v>0</v>
      </c>
      <c r="K5" s="6">
        <f t="shared" si="2"/>
        <v>0</v>
      </c>
      <c r="L5" s="6">
        <f t="shared" si="2"/>
        <v>0</v>
      </c>
      <c r="M5" s="6">
        <f t="shared" si="2"/>
        <v>0</v>
      </c>
      <c r="N5" s="6">
        <f t="shared" si="2"/>
        <v>0</v>
      </c>
      <c r="O5" s="6">
        <f t="shared" ref="O5" si="3">SUM(O6:O10)</f>
        <v>0</v>
      </c>
    </row>
    <row r="6" spans="2:15" x14ac:dyDescent="0.4">
      <c r="B6" s="10" t="s">
        <v>12</v>
      </c>
      <c r="F6" s="11">
        <v>4369.0253499999999</v>
      </c>
      <c r="G6" s="11">
        <v>0</v>
      </c>
      <c r="H6" s="11">
        <v>0</v>
      </c>
      <c r="I6" s="11">
        <v>0</v>
      </c>
      <c r="J6" s="11"/>
      <c r="K6" s="11"/>
      <c r="L6" s="11"/>
      <c r="M6" s="11"/>
      <c r="N6" s="11"/>
      <c r="O6" s="11"/>
    </row>
    <row r="7" spans="2:15" x14ac:dyDescent="0.4">
      <c r="B7" s="10" t="s">
        <v>13</v>
      </c>
      <c r="F7" s="11">
        <v>0</v>
      </c>
      <c r="G7" s="11">
        <v>-9186.2688200000011</v>
      </c>
      <c r="H7" s="11">
        <v>5606.8208500000001</v>
      </c>
      <c r="I7" s="11">
        <v>2835.9653399999997</v>
      </c>
      <c r="J7" s="11"/>
      <c r="K7" s="11"/>
      <c r="L7" s="11"/>
      <c r="M7" s="11"/>
      <c r="N7" s="11"/>
      <c r="O7" s="11"/>
    </row>
    <row r="8" spans="2:15" ht="29.15" x14ac:dyDescent="0.4">
      <c r="B8" s="10" t="s">
        <v>14</v>
      </c>
      <c r="F8" s="11">
        <v>0</v>
      </c>
      <c r="G8" s="11">
        <v>-774.37272999999993</v>
      </c>
      <c r="H8" s="11">
        <v>-2298.1285600000001</v>
      </c>
      <c r="I8" s="11">
        <v>2339.8905099999997</v>
      </c>
      <c r="J8" s="11"/>
      <c r="K8" s="11"/>
      <c r="L8" s="11"/>
      <c r="M8" s="11"/>
      <c r="N8" s="11"/>
      <c r="O8" s="11"/>
    </row>
    <row r="9" spans="2:15" x14ac:dyDescent="0.4">
      <c r="B9" s="10" t="s">
        <v>15</v>
      </c>
      <c r="F9" s="11">
        <v>50.225790000000039</v>
      </c>
      <c r="G9" s="11">
        <v>0</v>
      </c>
      <c r="H9" s="11">
        <v>0</v>
      </c>
      <c r="I9" s="11">
        <v>0</v>
      </c>
      <c r="J9" s="11"/>
      <c r="K9" s="11"/>
      <c r="L9" s="11"/>
      <c r="M9" s="11"/>
      <c r="N9" s="11"/>
      <c r="O9" s="11"/>
    </row>
    <row r="10" spans="2:15" ht="7.5" customHeight="1" x14ac:dyDescent="0.4">
      <c r="B10" s="10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2:15" s="7" customFormat="1" ht="18" customHeight="1" x14ac:dyDescent="0.4">
      <c r="B11" s="4" t="s">
        <v>16</v>
      </c>
      <c r="C11" s="5"/>
      <c r="D11" s="5"/>
      <c r="E11" s="5"/>
      <c r="F11" s="6">
        <f>SUM(F12,F25)</f>
        <v>-3084.6033600000001</v>
      </c>
      <c r="G11" s="6">
        <f>SUM(G12,G25)</f>
        <v>-1599.7469900000001</v>
      </c>
      <c r="H11" s="6">
        <f>SUM(H12,H25)</f>
        <v>-773.69886999999994</v>
      </c>
      <c r="I11" s="6">
        <f>SUM(I12,I25)</f>
        <v>-460.23786999999999</v>
      </c>
      <c r="J11" s="6">
        <f>SUM(J12,J25)</f>
        <v>-352.18022351778677</v>
      </c>
      <c r="K11" s="6">
        <f t="shared" ref="K11:N11" si="4">SUM(K12,K25)</f>
        <v>-1409.2287852112677</v>
      </c>
      <c r="L11" s="6">
        <f t="shared" si="4"/>
        <v>-135.42253521126759</v>
      </c>
      <c r="M11" s="6">
        <f t="shared" si="4"/>
        <v>-135.42253521126759</v>
      </c>
      <c r="N11" s="6">
        <f t="shared" si="4"/>
        <v>-135.42253521126759</v>
      </c>
      <c r="O11" s="6">
        <f t="shared" ref="O11" si="5">SUM(O12,O25)</f>
        <v>-135.42253521126759</v>
      </c>
    </row>
    <row r="12" spans="2:15" ht="29.15" x14ac:dyDescent="0.4">
      <c r="B12" s="12" t="s">
        <v>17</v>
      </c>
      <c r="C12" s="13" t="s">
        <v>18</v>
      </c>
      <c r="D12" s="13" t="s">
        <v>19</v>
      </c>
      <c r="E12" s="14"/>
      <c r="F12" s="15">
        <f>SUM(F13:F23)</f>
        <v>-2638.6444099999999</v>
      </c>
      <c r="G12" s="15">
        <f t="shared" ref="G12:O12" si="6">SUM(G13:G23)</f>
        <v>-1579.0192800000002</v>
      </c>
      <c r="H12" s="15">
        <f t="shared" si="6"/>
        <v>-654.80937999999992</v>
      </c>
      <c r="I12" s="15">
        <f t="shared" si="6"/>
        <v>-396.14382000000001</v>
      </c>
      <c r="J12" s="15">
        <f t="shared" si="6"/>
        <v>-22.062132660374338</v>
      </c>
      <c r="K12" s="15">
        <f t="shared" si="6"/>
        <v>-1323.8062500000001</v>
      </c>
      <c r="L12" s="15">
        <f t="shared" si="6"/>
        <v>-50</v>
      </c>
      <c r="M12" s="15">
        <f t="shared" si="6"/>
        <v>-50</v>
      </c>
      <c r="N12" s="15">
        <f t="shared" si="6"/>
        <v>-50</v>
      </c>
      <c r="O12" s="15">
        <f t="shared" si="6"/>
        <v>-50</v>
      </c>
    </row>
    <row r="13" spans="2:15" x14ac:dyDescent="0.4">
      <c r="B13" s="16" t="s">
        <v>20</v>
      </c>
      <c r="E13" s="2" t="s">
        <v>21</v>
      </c>
      <c r="F13" s="11">
        <v>-41.619330000000005</v>
      </c>
      <c r="G13" s="11">
        <v>-26.038319999999999</v>
      </c>
      <c r="H13" s="11">
        <v>-3.34273</v>
      </c>
      <c r="I13" s="11">
        <v>-11.16208</v>
      </c>
      <c r="J13" s="11">
        <v>-0.79587266037434001</v>
      </c>
      <c r="K13" s="11">
        <v>-10</v>
      </c>
      <c r="L13" s="11">
        <v>-10</v>
      </c>
      <c r="M13" s="11">
        <v>-10</v>
      </c>
      <c r="N13" s="11">
        <v>-10</v>
      </c>
      <c r="O13" s="11">
        <v>-10</v>
      </c>
    </row>
    <row r="14" spans="2:15" x14ac:dyDescent="0.4">
      <c r="B14" s="16" t="s">
        <v>22</v>
      </c>
      <c r="E14" s="2" t="s">
        <v>21</v>
      </c>
      <c r="F14" s="11">
        <v>-88.485219999999799</v>
      </c>
      <c r="G14" s="11">
        <v>-195.53427000000011</v>
      </c>
      <c r="H14" s="11">
        <v>-58.246409999999798</v>
      </c>
      <c r="I14" s="11">
        <v>-31.540089999999907</v>
      </c>
      <c r="J14" s="11">
        <f>-16.26626-5</f>
        <v>-21.266259999999999</v>
      </c>
      <c r="K14" s="11">
        <f>-573806.25/1000</f>
        <v>-573.80624999999998</v>
      </c>
      <c r="L14" s="11">
        <v>-20</v>
      </c>
      <c r="M14" s="11">
        <v>-20</v>
      </c>
      <c r="N14" s="11">
        <v>-20</v>
      </c>
      <c r="O14" s="11">
        <v>-20</v>
      </c>
    </row>
    <row r="15" spans="2:15" x14ac:dyDescent="0.4">
      <c r="B15" s="16" t="s">
        <v>23</v>
      </c>
      <c r="F15" s="11">
        <v>-447.17</v>
      </c>
      <c r="G15" s="11">
        <v>-268.54000000000002</v>
      </c>
      <c r="H15" s="11">
        <v>-238.51</v>
      </c>
      <c r="I15" s="11">
        <v>-14.52</v>
      </c>
      <c r="J15" s="11"/>
      <c r="K15" s="11">
        <v>-20</v>
      </c>
      <c r="L15" s="11">
        <v>-20</v>
      </c>
      <c r="M15" s="11">
        <v>-20</v>
      </c>
      <c r="N15" s="11">
        <v>-20</v>
      </c>
      <c r="O15" s="11">
        <v>-20</v>
      </c>
    </row>
    <row r="16" spans="2:15" x14ac:dyDescent="0.4">
      <c r="B16" s="16" t="s">
        <v>24</v>
      </c>
      <c r="C16" s="17">
        <v>44293</v>
      </c>
      <c r="D16" s="17"/>
      <c r="E16" s="2" t="s">
        <v>25</v>
      </c>
      <c r="F16" s="11">
        <v>-562.05917999999997</v>
      </c>
      <c r="G16" s="11">
        <v>-24.901420000000041</v>
      </c>
      <c r="H16" s="11"/>
      <c r="I16" s="11"/>
      <c r="J16" s="11"/>
      <c r="K16" s="11"/>
      <c r="L16" s="11"/>
      <c r="M16" s="11"/>
      <c r="N16" s="11"/>
      <c r="O16" s="11"/>
    </row>
    <row r="17" spans="2:15" x14ac:dyDescent="0.4">
      <c r="B17" s="16" t="s">
        <v>26</v>
      </c>
      <c r="C17" s="17">
        <v>44252</v>
      </c>
      <c r="D17" s="17"/>
      <c r="E17" s="2" t="s">
        <v>25</v>
      </c>
      <c r="F17" s="11">
        <v>-161.71145000000001</v>
      </c>
      <c r="G17" s="11"/>
      <c r="H17" s="11"/>
      <c r="I17" s="11"/>
      <c r="J17" s="11"/>
      <c r="K17" s="11"/>
      <c r="L17" s="11"/>
      <c r="M17" s="11"/>
      <c r="N17" s="11"/>
      <c r="O17" s="11"/>
    </row>
    <row r="18" spans="2:15" x14ac:dyDescent="0.4">
      <c r="B18" s="16" t="s">
        <v>27</v>
      </c>
      <c r="C18" s="17">
        <v>39681</v>
      </c>
      <c r="D18" s="17"/>
      <c r="E18" s="2" t="s">
        <v>28</v>
      </c>
      <c r="F18" s="11">
        <f>-1200000/1000</f>
        <v>-1200</v>
      </c>
      <c r="J18" s="11"/>
      <c r="K18" s="11"/>
      <c r="L18" s="11"/>
      <c r="M18" s="11"/>
      <c r="N18" s="11"/>
      <c r="O18" s="11"/>
    </row>
    <row r="19" spans="2:15" x14ac:dyDescent="0.4">
      <c r="B19" s="16" t="s">
        <v>27</v>
      </c>
      <c r="C19" s="17">
        <v>39681</v>
      </c>
      <c r="D19" s="17"/>
      <c r="E19" s="2" t="s">
        <v>29</v>
      </c>
      <c r="F19" s="11">
        <v>-17.259979999999999</v>
      </c>
      <c r="G19" s="11">
        <v>-227.26998</v>
      </c>
      <c r="H19" s="11">
        <v>-368.8285800000001</v>
      </c>
      <c r="I19" s="11">
        <v>-313.45735999999999</v>
      </c>
      <c r="J19" s="11"/>
      <c r="K19" s="11"/>
      <c r="L19" s="11"/>
      <c r="M19" s="11"/>
      <c r="N19" s="11"/>
      <c r="O19" s="11"/>
    </row>
    <row r="20" spans="2:15" x14ac:dyDescent="0.4">
      <c r="B20" s="16" t="s">
        <v>30</v>
      </c>
      <c r="C20" s="17">
        <v>40210</v>
      </c>
      <c r="D20" s="17">
        <v>45753</v>
      </c>
      <c r="E20" s="2" t="s">
        <v>31</v>
      </c>
      <c r="F20" s="11"/>
      <c r="G20" s="11">
        <v>-151.34317999999999</v>
      </c>
      <c r="H20" s="11">
        <v>14.118340000000011</v>
      </c>
      <c r="I20" s="11">
        <v>-5.1819300000000004</v>
      </c>
      <c r="J20" s="11"/>
      <c r="K20" s="11"/>
      <c r="L20" s="11"/>
      <c r="M20" s="11"/>
      <c r="N20" s="11"/>
      <c r="O20" s="11"/>
    </row>
    <row r="21" spans="2:15" x14ac:dyDescent="0.4">
      <c r="B21" s="16" t="s">
        <v>32</v>
      </c>
      <c r="C21" s="17">
        <v>43104</v>
      </c>
      <c r="D21" s="17">
        <v>45648</v>
      </c>
      <c r="E21" s="2" t="s">
        <v>29</v>
      </c>
      <c r="F21" s="11"/>
      <c r="G21" s="11"/>
      <c r="H21" s="11"/>
      <c r="I21" s="11">
        <v>-20.282360000000104</v>
      </c>
      <c r="J21" s="11"/>
      <c r="K21" s="11"/>
      <c r="L21" s="11"/>
      <c r="M21" s="11"/>
      <c r="N21" s="11"/>
      <c r="O21" s="11"/>
    </row>
    <row r="22" spans="2:15" x14ac:dyDescent="0.4">
      <c r="B22" s="16" t="s">
        <v>33</v>
      </c>
      <c r="C22" s="17">
        <v>44732</v>
      </c>
      <c r="D22" s="17">
        <v>45277</v>
      </c>
      <c r="E22" s="2" t="s">
        <v>25</v>
      </c>
      <c r="F22" s="11">
        <v>-120.33925000000001</v>
      </c>
      <c r="G22" s="11">
        <v>-685.39211</v>
      </c>
      <c r="H22" s="11"/>
      <c r="I22" s="11"/>
      <c r="J22" s="11"/>
      <c r="K22" s="11"/>
      <c r="L22" s="11"/>
      <c r="M22" s="11"/>
      <c r="N22" s="11"/>
      <c r="O22" s="11"/>
    </row>
    <row r="23" spans="2:15" x14ac:dyDescent="0.4">
      <c r="B23" s="16" t="s">
        <v>34</v>
      </c>
      <c r="C23" s="17">
        <v>46371</v>
      </c>
      <c r="D23" s="17"/>
      <c r="E23" s="2" t="s">
        <v>25</v>
      </c>
      <c r="F23" s="11"/>
      <c r="G23" s="11"/>
      <c r="H23" s="11"/>
      <c r="I23" s="11"/>
      <c r="J23" s="11"/>
      <c r="K23" s="11">
        <f>-650-70</f>
        <v>-720</v>
      </c>
      <c r="L23" s="11"/>
      <c r="M23" s="11"/>
      <c r="N23" s="11"/>
      <c r="O23" s="11"/>
    </row>
    <row r="24" spans="2:15" ht="7.5" customHeight="1" x14ac:dyDescent="0.4"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x14ac:dyDescent="0.4">
      <c r="B25" s="12" t="s">
        <v>35</v>
      </c>
      <c r="C25" s="13" t="s">
        <v>18</v>
      </c>
      <c r="D25" s="13" t="s">
        <v>19</v>
      </c>
      <c r="E25" s="14"/>
      <c r="F25" s="15">
        <f>SUM(F26:F36)</f>
        <v>-445.95895000000002</v>
      </c>
      <c r="G25" s="15">
        <f t="shared" ref="G25:N25" si="7">SUM(G26:G36)</f>
        <v>-20.727709999999867</v>
      </c>
      <c r="H25" s="15">
        <f t="shared" si="7"/>
        <v>-118.88949000000002</v>
      </c>
      <c r="I25" s="15">
        <f t="shared" si="7"/>
        <v>-64.094049999999982</v>
      </c>
      <c r="J25" s="15">
        <f t="shared" si="7"/>
        <v>-330.11809085741243</v>
      </c>
      <c r="K25" s="15">
        <f t="shared" si="7"/>
        <v>-85.422535211267601</v>
      </c>
      <c r="L25" s="15">
        <f t="shared" si="7"/>
        <v>-85.422535211267601</v>
      </c>
      <c r="M25" s="15">
        <f t="shared" si="7"/>
        <v>-85.422535211267601</v>
      </c>
      <c r="N25" s="15">
        <f t="shared" si="7"/>
        <v>-85.422535211267601</v>
      </c>
      <c r="O25" s="15">
        <f t="shared" ref="O25" si="8">SUM(O26:O36)</f>
        <v>-85.422535211267601</v>
      </c>
    </row>
    <row r="26" spans="2:15" x14ac:dyDescent="0.4">
      <c r="B26" s="16" t="s">
        <v>20</v>
      </c>
      <c r="E26" s="2" t="s">
        <v>36</v>
      </c>
      <c r="F26" s="11">
        <v>-443.33375000000001</v>
      </c>
      <c r="G26" s="11">
        <v>0</v>
      </c>
      <c r="H26" s="11">
        <v>-88.669459999999987</v>
      </c>
      <c r="I26" s="11">
        <v>-57.895280000000007</v>
      </c>
      <c r="J26" s="11">
        <v>-15.3565508574123</v>
      </c>
      <c r="K26" s="11">
        <f>-100000000/1420/1000</f>
        <v>-70.422535211267601</v>
      </c>
      <c r="L26" s="11">
        <f t="shared" ref="L26:O26" si="9">-100000000/1420/1000</f>
        <v>-70.422535211267601</v>
      </c>
      <c r="M26" s="11">
        <f t="shared" si="9"/>
        <v>-70.422535211267601</v>
      </c>
      <c r="N26" s="11">
        <f t="shared" si="9"/>
        <v>-70.422535211267601</v>
      </c>
      <c r="O26" s="11">
        <f t="shared" si="9"/>
        <v>-70.422535211267601</v>
      </c>
    </row>
    <row r="27" spans="2:15" x14ac:dyDescent="0.4">
      <c r="B27" s="16" t="s">
        <v>22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2:15" x14ac:dyDescent="0.4">
      <c r="B28" s="16" t="s">
        <v>23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2:15" x14ac:dyDescent="0.4">
      <c r="B29" s="16" t="s">
        <v>24</v>
      </c>
      <c r="C29" s="17">
        <v>44293</v>
      </c>
      <c r="D29" s="17"/>
      <c r="F29" s="11"/>
      <c r="G29" s="11"/>
      <c r="H29" s="11">
        <v>-3.315680000000051</v>
      </c>
      <c r="I29" s="11">
        <v>-1.1808399999998509</v>
      </c>
      <c r="J29" s="11">
        <v>-0.9</v>
      </c>
      <c r="K29" s="11">
        <v>-5</v>
      </c>
      <c r="L29" s="11">
        <v>-5</v>
      </c>
      <c r="M29" s="11">
        <v>-5</v>
      </c>
      <c r="N29" s="11">
        <v>-5</v>
      </c>
      <c r="O29" s="11">
        <v>-5</v>
      </c>
    </row>
    <row r="30" spans="2:15" x14ac:dyDescent="0.4">
      <c r="B30" s="16" t="s">
        <v>26</v>
      </c>
      <c r="C30" s="17">
        <v>44252</v>
      </c>
      <c r="D30" s="17"/>
      <c r="F30" s="11"/>
      <c r="G30" s="11">
        <v>-13.139919999999925</v>
      </c>
      <c r="H30" s="11">
        <v>-10.010970000000089</v>
      </c>
      <c r="I30" s="11">
        <v>-2.2920599999999394</v>
      </c>
      <c r="J30" s="11">
        <v>-10.704040000000036</v>
      </c>
      <c r="K30" s="11">
        <v>-5</v>
      </c>
      <c r="L30" s="11">
        <v>-5</v>
      </c>
      <c r="M30" s="11">
        <v>-5</v>
      </c>
      <c r="N30" s="11">
        <v>-5</v>
      </c>
      <c r="O30" s="11">
        <v>-5</v>
      </c>
    </row>
    <row r="31" spans="2:15" x14ac:dyDescent="0.4">
      <c r="B31" s="16" t="s">
        <v>27</v>
      </c>
      <c r="C31" s="17">
        <v>39681</v>
      </c>
      <c r="D31" s="17"/>
      <c r="F31" s="11"/>
      <c r="G31" s="11"/>
      <c r="H31" s="11">
        <v>-16.893379999999887</v>
      </c>
      <c r="I31" s="11">
        <v>-1.5130000000001165</v>
      </c>
      <c r="J31" s="11">
        <v>-302.1776200000001</v>
      </c>
      <c r="K31" s="11">
        <v>-5</v>
      </c>
      <c r="L31" s="11">
        <v>-5</v>
      </c>
      <c r="M31" s="11">
        <v>-5</v>
      </c>
      <c r="N31" s="11">
        <v>-5</v>
      </c>
      <c r="O31" s="11">
        <v>-5</v>
      </c>
    </row>
    <row r="32" spans="2:15" x14ac:dyDescent="0.4">
      <c r="B32" s="16" t="s">
        <v>30</v>
      </c>
      <c r="C32" s="17">
        <v>40210</v>
      </c>
      <c r="D32" s="17">
        <v>45753</v>
      </c>
      <c r="F32" s="11">
        <v>-2.6252000000000115</v>
      </c>
      <c r="G32" s="11">
        <v>-7.5877899999999423</v>
      </c>
      <c r="H32" s="11"/>
      <c r="I32" s="11">
        <v>-1.2128700000000607</v>
      </c>
      <c r="J32" s="11">
        <v>-0.97988000000000464</v>
      </c>
      <c r="K32" s="11"/>
      <c r="L32" s="11"/>
      <c r="M32" s="11"/>
      <c r="N32" s="11"/>
      <c r="O32" s="11"/>
    </row>
    <row r="33" spans="2:15" x14ac:dyDescent="0.4">
      <c r="B33" s="16" t="s">
        <v>32</v>
      </c>
      <c r="C33" s="17">
        <v>43104</v>
      </c>
      <c r="D33" s="17">
        <v>45648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2:15" x14ac:dyDescent="0.4">
      <c r="B34" s="16" t="s">
        <v>33</v>
      </c>
      <c r="C34" s="17">
        <v>44732</v>
      </c>
      <c r="D34" s="17">
        <v>45277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2:15" x14ac:dyDescent="0.4">
      <c r="B35" s="16"/>
      <c r="C35" s="17"/>
      <c r="D35" s="17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2:15" ht="7.5" customHeight="1" thickBot="1" x14ac:dyDescent="0.45">
      <c r="B36" s="18"/>
      <c r="C36" s="18"/>
      <c r="D36" s="18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2:15" x14ac:dyDescent="0.4"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2:15" x14ac:dyDescent="0.4"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40" spans="2:15" s="7" customFormat="1" ht="18" customHeight="1" x14ac:dyDescent="0.4"/>
    <row r="41" spans="2:15" s="7" customFormat="1" ht="7.5" customHeight="1" x14ac:dyDescent="0.4"/>
    <row r="42" spans="2:15" s="7" customFormat="1" ht="18" customHeight="1" x14ac:dyDescent="0.4"/>
    <row r="46" spans="2:15" ht="7.5" customHeight="1" x14ac:dyDescent="0.4"/>
    <row r="47" spans="2:15" s="7" customFormat="1" ht="18" customHeight="1" x14ac:dyDescent="0.4"/>
    <row r="58" ht="7.5" customHeight="1" x14ac:dyDescent="0.4"/>
    <row r="69" ht="7.5" customHeight="1" x14ac:dyDescent="0.4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2026-02-25T17:29:46Z</dcterms:created>
  <dcterms:modified xsi:type="dcterms:W3CDTF">2026-02-25T17:58:23Z</dcterms:modified>
</cp:coreProperties>
</file>