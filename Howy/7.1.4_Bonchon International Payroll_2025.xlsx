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codeName="현재_통합_문서" defaultThemeVersion="166925"/>
  <xr:revisionPtr revIDLastSave="0" documentId="13_ncr:1_{425CDD0E-00FA-4D65-9B58-CD5A0BF17D40}" xr6:coauthVersionLast="47" xr6:coauthVersionMax="47" xr10:uidLastSave="{00000000-0000-0000-0000-000000000000}"/>
  <bookViews>
    <workbookView xWindow="41158" yWindow="-107" windowWidth="20848" windowHeight="12390" xr2:uid="{DB82868D-6683-43CF-97B2-8CDA273F3364}"/>
  </bookViews>
  <sheets>
    <sheet name="2025.01" sheetId="2" r:id="rId1"/>
    <sheet name="2025.01_Bonus_Lunar New Year" sheetId="28" r:id="rId2"/>
    <sheet name="2025.02" sheetId="26" r:id="rId3"/>
    <sheet name="2025.02 Bonus" sheetId="38" r:id="rId4"/>
    <sheet name="2025.03" sheetId="27" r:id="rId5"/>
    <sheet name="2025.04" sheetId="29" r:id="rId6"/>
    <sheet name="2025.05" sheetId="30" r:id="rId7"/>
    <sheet name="2025.06" sheetId="31" r:id="rId8"/>
    <sheet name="2025.07" sheetId="32" r:id="rId9"/>
    <sheet name="2025.08" sheetId="33" r:id="rId10"/>
    <sheet name="2025.09" sheetId="34" r:id="rId11"/>
    <sheet name="2025.10" sheetId="35" r:id="rId12"/>
    <sheet name="2025.10_Bonus_Chuseok" sheetId="37" r:id="rId13"/>
    <sheet name="2025.11" sheetId="36" r:id="rId14"/>
    <sheet name="2025.12" sheetId="39" r:id="rId15"/>
  </sheets>
  <definedNames>
    <definedName name="_xlnm._FilterDatabase" localSheetId="0" hidden="1">'2025.01'!$B$4:$X$33</definedName>
    <definedName name="_xlnm._FilterDatabase" localSheetId="1" hidden="1">'2025.01_Bonus_Lunar New Year'!$B$4:$L$34</definedName>
    <definedName name="_xlnm._FilterDatabase" localSheetId="2" hidden="1">'2025.02'!$B$4:$X$34</definedName>
    <definedName name="_xlnm._FilterDatabase" localSheetId="3" hidden="1">'2025.02 Bonus'!$B$4:$L$34</definedName>
    <definedName name="_xlnm._FilterDatabase" localSheetId="4" hidden="1">'2025.03'!$B$4:$X$32</definedName>
    <definedName name="_xlnm._FilterDatabase" localSheetId="5" hidden="1">'2025.04'!$B$4:$X$33</definedName>
    <definedName name="_xlnm._FilterDatabase" localSheetId="6" hidden="1">'2025.05'!$B$4:$X$33</definedName>
    <definedName name="_xlnm._FilterDatabase" localSheetId="7" hidden="1">'2025.06'!$B$4:$X$34</definedName>
    <definedName name="_xlnm._FilterDatabase" localSheetId="8" hidden="1">'2025.07'!$B$4:$X$35</definedName>
    <definedName name="_xlnm._FilterDatabase" localSheetId="9" hidden="1">'2025.08'!$B$4:$X$35</definedName>
    <definedName name="_xlnm._FilterDatabase" localSheetId="10" hidden="1">'2025.09'!$B$4:$X$35</definedName>
    <definedName name="_xlnm._FilterDatabase" localSheetId="11" hidden="1">'2025.10'!$B$4:$X$36</definedName>
    <definedName name="_xlnm._FilterDatabase" localSheetId="12" hidden="1">'2025.10_Bonus_Chuseok'!$B$4:$L$35</definedName>
    <definedName name="_xlnm._FilterDatabase" localSheetId="13" hidden="1">'2025.11'!$B$4:$Y$36</definedName>
    <definedName name="_xlnm._FilterDatabase" localSheetId="14" hidden="1">'2025.12'!$B$4:$Y$36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45855.7536111111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9" l="1"/>
  <c r="O5" i="39"/>
  <c r="X5" i="39"/>
  <c r="Y5" i="39"/>
  <c r="O6" i="39"/>
  <c r="Y6" i="39" s="1"/>
  <c r="X6" i="39"/>
  <c r="O7" i="39"/>
  <c r="X7" i="39"/>
  <c r="Y7" i="39"/>
  <c r="O8" i="39"/>
  <c r="Y8" i="39" s="1"/>
  <c r="X8" i="39"/>
  <c r="O9" i="39"/>
  <c r="Y9" i="39" s="1"/>
  <c r="X9" i="39"/>
  <c r="O10" i="39"/>
  <c r="X10" i="39"/>
  <c r="Y10" i="39"/>
  <c r="O11" i="39"/>
  <c r="Y11" i="39" s="1"/>
  <c r="X11" i="39"/>
  <c r="O12" i="39"/>
  <c r="X12" i="39"/>
  <c r="Y12" i="39" s="1"/>
  <c r="O13" i="39"/>
  <c r="X13" i="39"/>
  <c r="Y13" i="39"/>
  <c r="O14" i="39"/>
  <c r="X14" i="39"/>
  <c r="Y14" i="39" s="1"/>
  <c r="O15" i="39"/>
  <c r="X15" i="39"/>
  <c r="Y15" i="39"/>
  <c r="O16" i="39"/>
  <c r="X16" i="39"/>
  <c r="Y16" i="39" s="1"/>
  <c r="O17" i="39"/>
  <c r="X17" i="39"/>
  <c r="Y17" i="39"/>
  <c r="O18" i="39"/>
  <c r="Y18" i="39" s="1"/>
  <c r="X18" i="39"/>
  <c r="O19" i="39"/>
  <c r="Y19" i="39" s="1"/>
  <c r="X19" i="39"/>
  <c r="O20" i="39"/>
  <c r="X20" i="39"/>
  <c r="Y20" i="39"/>
  <c r="O21" i="39"/>
  <c r="Y21" i="39" s="1"/>
  <c r="X21" i="39"/>
  <c r="O22" i="39"/>
  <c r="Y22" i="39" s="1"/>
  <c r="X22" i="39"/>
  <c r="O23" i="39"/>
  <c r="X23" i="39"/>
  <c r="Y23" i="39"/>
  <c r="O24" i="39"/>
  <c r="Y24" i="39" s="1"/>
  <c r="X24" i="39"/>
  <c r="O25" i="39"/>
  <c r="X25" i="39"/>
  <c r="Y25" i="39"/>
  <c r="O26" i="39"/>
  <c r="Y26" i="39" s="1"/>
  <c r="X26" i="39"/>
  <c r="O27" i="39"/>
  <c r="X27" i="39"/>
  <c r="Y27" i="39"/>
  <c r="O28" i="39"/>
  <c r="Y28" i="39" s="1"/>
  <c r="X28" i="39"/>
  <c r="O29" i="39"/>
  <c r="Y29" i="39" s="1"/>
  <c r="X29" i="39"/>
  <c r="O30" i="39"/>
  <c r="X30" i="39"/>
  <c r="Y30" i="39"/>
  <c r="O31" i="39"/>
  <c r="Y31" i="39" s="1"/>
  <c r="X31" i="39"/>
  <c r="O32" i="39"/>
  <c r="X32" i="39"/>
  <c r="Y32" i="39" s="1"/>
  <c r="O33" i="39"/>
  <c r="X33" i="39"/>
  <c r="Y33" i="39"/>
  <c r="O34" i="39"/>
  <c r="X34" i="39"/>
  <c r="Y34" i="39" s="1"/>
  <c r="F35" i="39"/>
  <c r="G35" i="39"/>
  <c r="O35" i="39" s="1"/>
  <c r="H35" i="39"/>
  <c r="I35" i="39"/>
  <c r="J35" i="39"/>
  <c r="K35" i="39"/>
  <c r="L35" i="39"/>
  <c r="M35" i="39"/>
  <c r="N35" i="39"/>
  <c r="P35" i="39"/>
  <c r="Q35" i="39"/>
  <c r="R35" i="39"/>
  <c r="S35" i="39"/>
  <c r="T35" i="39"/>
  <c r="U35" i="39"/>
  <c r="V35" i="39"/>
  <c r="W35" i="39"/>
  <c r="X35" i="39"/>
  <c r="D5" i="36"/>
  <c r="O5" i="36"/>
  <c r="Y5" i="36" s="1"/>
  <c r="X5" i="36"/>
  <c r="X35" i="36" s="1"/>
  <c r="O6" i="36"/>
  <c r="X6" i="36"/>
  <c r="Y6" i="36"/>
  <c r="O7" i="36"/>
  <c r="Y7" i="36" s="1"/>
  <c r="X7" i="36"/>
  <c r="O8" i="36"/>
  <c r="X8" i="36"/>
  <c r="Y8" i="36"/>
  <c r="O9" i="36"/>
  <c r="Y9" i="36" s="1"/>
  <c r="X9" i="36"/>
  <c r="O10" i="36"/>
  <c r="X10" i="36"/>
  <c r="Y10" i="36"/>
  <c r="O11" i="36"/>
  <c r="Y11" i="36" s="1"/>
  <c r="X11" i="36"/>
  <c r="O12" i="36"/>
  <c r="Y12" i="36" s="1"/>
  <c r="X12" i="36"/>
  <c r="O13" i="36"/>
  <c r="X13" i="36"/>
  <c r="Y13" i="36"/>
  <c r="O14" i="36"/>
  <c r="Y14" i="36" s="1"/>
  <c r="X14" i="36"/>
  <c r="O15" i="36"/>
  <c r="X15" i="36"/>
  <c r="Y15" i="36"/>
  <c r="O16" i="36"/>
  <c r="X16" i="36"/>
  <c r="Y16" i="36"/>
  <c r="O17" i="36"/>
  <c r="X17" i="36"/>
  <c r="Y17" i="36"/>
  <c r="O18" i="36"/>
  <c r="X18" i="36"/>
  <c r="Y18" i="36"/>
  <c r="O19" i="36"/>
  <c r="X19" i="36"/>
  <c r="Y19" i="36" s="1"/>
  <c r="O20" i="36"/>
  <c r="X20" i="36"/>
  <c r="Y20" i="36" s="1"/>
  <c r="O21" i="36"/>
  <c r="Y21" i="36" s="1"/>
  <c r="X21" i="36"/>
  <c r="O22" i="36"/>
  <c r="Y22" i="36" s="1"/>
  <c r="X22" i="36"/>
  <c r="O23" i="36"/>
  <c r="X23" i="36"/>
  <c r="Y23" i="36"/>
  <c r="O24" i="36"/>
  <c r="Y24" i="36" s="1"/>
  <c r="X24" i="36"/>
  <c r="O25" i="36"/>
  <c r="Y25" i="36" s="1"/>
  <c r="X25" i="36"/>
  <c r="O26" i="36"/>
  <c r="X26" i="36"/>
  <c r="Y26" i="36"/>
  <c r="O27" i="36"/>
  <c r="Y27" i="36" s="1"/>
  <c r="X27" i="36"/>
  <c r="O28" i="36"/>
  <c r="X28" i="36"/>
  <c r="Y28" i="36"/>
  <c r="O29" i="36"/>
  <c r="Y29" i="36" s="1"/>
  <c r="X29" i="36"/>
  <c r="O30" i="36"/>
  <c r="X30" i="36"/>
  <c r="Y30" i="36"/>
  <c r="O31" i="36"/>
  <c r="Y31" i="36" s="1"/>
  <c r="X31" i="36"/>
  <c r="O32" i="36"/>
  <c r="Y32" i="36" s="1"/>
  <c r="X32" i="36"/>
  <c r="O33" i="36"/>
  <c r="X33" i="36"/>
  <c r="Y33" i="36"/>
  <c r="O34" i="36"/>
  <c r="Y34" i="36" s="1"/>
  <c r="X34" i="36"/>
  <c r="F35" i="36"/>
  <c r="G35" i="36"/>
  <c r="H35" i="36"/>
  <c r="I35" i="36"/>
  <c r="J35" i="36"/>
  <c r="K35" i="36"/>
  <c r="L35" i="36"/>
  <c r="M35" i="36"/>
  <c r="O35" i="36" s="1"/>
  <c r="N35" i="36"/>
  <c r="P35" i="36"/>
  <c r="Q35" i="36"/>
  <c r="R35" i="36"/>
  <c r="S35" i="36"/>
  <c r="T35" i="36"/>
  <c r="U35" i="36"/>
  <c r="V35" i="36"/>
  <c r="W35" i="36"/>
  <c r="D5" i="37"/>
  <c r="G5" i="37"/>
  <c r="G34" i="37" s="1"/>
  <c r="L5" i="37"/>
  <c r="G6" i="37"/>
  <c r="L6" i="37"/>
  <c r="G7" i="37"/>
  <c r="L7" i="37"/>
  <c r="G8" i="37"/>
  <c r="L8" i="37"/>
  <c r="G9" i="37"/>
  <c r="L9" i="37"/>
  <c r="G10" i="37"/>
  <c r="L10" i="37" s="1"/>
  <c r="G11" i="37"/>
  <c r="L11" i="37"/>
  <c r="G12" i="37"/>
  <c r="L12" i="37"/>
  <c r="G13" i="37"/>
  <c r="L13" i="37" s="1"/>
  <c r="G14" i="37"/>
  <c r="L14" i="37"/>
  <c r="G15" i="37"/>
  <c r="L15" i="37"/>
  <c r="G16" i="37"/>
  <c r="L16" i="37"/>
  <c r="G17" i="37"/>
  <c r="L17" i="37"/>
  <c r="G18" i="37"/>
  <c r="L18" i="37"/>
  <c r="G19" i="37"/>
  <c r="L19" i="37"/>
  <c r="G20" i="37"/>
  <c r="L20" i="37" s="1"/>
  <c r="G21" i="37"/>
  <c r="L21" i="37"/>
  <c r="G22" i="37"/>
  <c r="L22" i="37"/>
  <c r="G23" i="37"/>
  <c r="L23" i="37" s="1"/>
  <c r="G24" i="37"/>
  <c r="L24" i="37"/>
  <c r="G25" i="37"/>
  <c r="L25" i="37"/>
  <c r="G26" i="37"/>
  <c r="L26" i="37"/>
  <c r="G27" i="37"/>
  <c r="L27" i="37"/>
  <c r="G28" i="37"/>
  <c r="L28" i="37"/>
  <c r="G29" i="37"/>
  <c r="L29" i="37"/>
  <c r="G30" i="37"/>
  <c r="L30" i="37" s="1"/>
  <c r="G31" i="37"/>
  <c r="L31" i="37"/>
  <c r="G32" i="37"/>
  <c r="L32" i="37"/>
  <c r="G33" i="37"/>
  <c r="L33" i="37" s="1"/>
  <c r="F34" i="37"/>
  <c r="H34" i="37"/>
  <c r="I34" i="37"/>
  <c r="J34" i="37"/>
  <c r="K34" i="37"/>
  <c r="D5" i="35"/>
  <c r="N5" i="35"/>
  <c r="N35" i="35" s="1"/>
  <c r="W5" i="35"/>
  <c r="X5" i="35" s="1"/>
  <c r="N6" i="35"/>
  <c r="X6" i="35" s="1"/>
  <c r="W6" i="35"/>
  <c r="N7" i="35"/>
  <c r="W7" i="35"/>
  <c r="W35" i="35" s="1"/>
  <c r="N8" i="35"/>
  <c r="X8" i="35" s="1"/>
  <c r="W8" i="35"/>
  <c r="N9" i="35"/>
  <c r="W9" i="35"/>
  <c r="X9" i="35"/>
  <c r="N10" i="35"/>
  <c r="X10" i="35" s="1"/>
  <c r="W10" i="35"/>
  <c r="N11" i="35"/>
  <c r="W11" i="35"/>
  <c r="X11" i="35"/>
  <c r="N12" i="35"/>
  <c r="X12" i="35" s="1"/>
  <c r="W12" i="35"/>
  <c r="N13" i="35"/>
  <c r="X13" i="35" s="1"/>
  <c r="W13" i="35"/>
  <c r="N14" i="35"/>
  <c r="X14" i="35" s="1"/>
  <c r="W14" i="35"/>
  <c r="N15" i="35"/>
  <c r="X15" i="35" s="1"/>
  <c r="W15" i="35"/>
  <c r="N16" i="35"/>
  <c r="W16" i="35"/>
  <c r="X16" i="35"/>
  <c r="N17" i="35"/>
  <c r="W17" i="35"/>
  <c r="X17" i="35"/>
  <c r="N18" i="35"/>
  <c r="W18" i="35"/>
  <c r="X18" i="35"/>
  <c r="N19" i="35"/>
  <c r="X19" i="35" s="1"/>
  <c r="W19" i="35"/>
  <c r="N20" i="35"/>
  <c r="W20" i="35"/>
  <c r="X20" i="35"/>
  <c r="N21" i="35"/>
  <c r="X21" i="35" s="1"/>
  <c r="W21" i="35"/>
  <c r="N22" i="35"/>
  <c r="X22" i="35" s="1"/>
  <c r="W22" i="35"/>
  <c r="N23" i="35"/>
  <c r="X23" i="35" s="1"/>
  <c r="W23" i="35"/>
  <c r="N24" i="35"/>
  <c r="W24" i="35"/>
  <c r="X24" i="35"/>
  <c r="N25" i="35"/>
  <c r="W25" i="35"/>
  <c r="X25" i="35" s="1"/>
  <c r="N26" i="35"/>
  <c r="X26" i="35" s="1"/>
  <c r="W26" i="35"/>
  <c r="N27" i="35"/>
  <c r="W27" i="35"/>
  <c r="X27" i="35" s="1"/>
  <c r="N28" i="35"/>
  <c r="X28" i="35" s="1"/>
  <c r="W28" i="35"/>
  <c r="N29" i="35"/>
  <c r="W29" i="35"/>
  <c r="X29" i="35"/>
  <c r="N30" i="35"/>
  <c r="X30" i="35" s="1"/>
  <c r="W30" i="35"/>
  <c r="N31" i="35"/>
  <c r="W31" i="35"/>
  <c r="X31" i="35"/>
  <c r="N32" i="35"/>
  <c r="X32" i="35" s="1"/>
  <c r="W32" i="35"/>
  <c r="N33" i="35"/>
  <c r="X33" i="35" s="1"/>
  <c r="W33" i="35"/>
  <c r="N34" i="35"/>
  <c r="X34" i="35" s="1"/>
  <c r="W34" i="35"/>
  <c r="F35" i="35"/>
  <c r="G35" i="35"/>
  <c r="H35" i="35"/>
  <c r="I35" i="35"/>
  <c r="J35" i="35"/>
  <c r="K35" i="35"/>
  <c r="L35" i="35"/>
  <c r="M35" i="35"/>
  <c r="O35" i="35"/>
  <c r="P35" i="35"/>
  <c r="Q35" i="35"/>
  <c r="R35" i="35"/>
  <c r="S35" i="35"/>
  <c r="T35" i="35"/>
  <c r="U35" i="35"/>
  <c r="V35" i="35"/>
  <c r="D5" i="34"/>
  <c r="N5" i="34"/>
  <c r="X5" i="34" s="1"/>
  <c r="W5" i="34"/>
  <c r="W34" i="34" s="1"/>
  <c r="N6" i="34"/>
  <c r="W6" i="34"/>
  <c r="X6" i="34" s="1"/>
  <c r="N7" i="34"/>
  <c r="W7" i="34"/>
  <c r="X7" i="34" s="1"/>
  <c r="N8" i="34"/>
  <c r="W8" i="34"/>
  <c r="X8" i="34"/>
  <c r="N9" i="34"/>
  <c r="X9" i="34" s="1"/>
  <c r="W9" i="34"/>
  <c r="N10" i="34"/>
  <c r="W10" i="34"/>
  <c r="X10" i="34"/>
  <c r="N11" i="34"/>
  <c r="X11" i="34" s="1"/>
  <c r="W11" i="34"/>
  <c r="N12" i="34"/>
  <c r="X12" i="34" s="1"/>
  <c r="W12" i="34"/>
  <c r="N13" i="34"/>
  <c r="X13" i="34" s="1"/>
  <c r="W13" i="34"/>
  <c r="N14" i="34"/>
  <c r="W14" i="34"/>
  <c r="X14" i="34"/>
  <c r="N15" i="34"/>
  <c r="W15" i="34"/>
  <c r="X15" i="34" s="1"/>
  <c r="N16" i="34"/>
  <c r="X16" i="34" s="1"/>
  <c r="W16" i="34"/>
  <c r="N17" i="34"/>
  <c r="W17" i="34"/>
  <c r="X17" i="34" s="1"/>
  <c r="N18" i="34"/>
  <c r="X18" i="34" s="1"/>
  <c r="W18" i="34"/>
  <c r="N19" i="34"/>
  <c r="W19" i="34"/>
  <c r="X19" i="34"/>
  <c r="N20" i="34"/>
  <c r="W20" i="34"/>
  <c r="X20" i="34"/>
  <c r="N21" i="34"/>
  <c r="W21" i="34"/>
  <c r="X21" i="34"/>
  <c r="N22" i="34"/>
  <c r="X22" i="34" s="1"/>
  <c r="W22" i="34"/>
  <c r="N23" i="34"/>
  <c r="X23" i="34" s="1"/>
  <c r="W23" i="34"/>
  <c r="N24" i="34"/>
  <c r="X24" i="34" s="1"/>
  <c r="W24" i="34"/>
  <c r="N25" i="34"/>
  <c r="X25" i="34" s="1"/>
  <c r="W25" i="34"/>
  <c r="N26" i="34"/>
  <c r="W26" i="34"/>
  <c r="X26" i="34" s="1"/>
  <c r="N27" i="34"/>
  <c r="W27" i="34"/>
  <c r="X27" i="34" s="1"/>
  <c r="N28" i="34"/>
  <c r="W28" i="34"/>
  <c r="X28" i="34"/>
  <c r="N29" i="34"/>
  <c r="X29" i="34" s="1"/>
  <c r="W29" i="34"/>
  <c r="N30" i="34"/>
  <c r="W30" i="34"/>
  <c r="X30" i="34"/>
  <c r="N31" i="34"/>
  <c r="X31" i="34" s="1"/>
  <c r="W31" i="34"/>
  <c r="N32" i="34"/>
  <c r="X32" i="34" s="1"/>
  <c r="W32" i="34"/>
  <c r="N33" i="34"/>
  <c r="X33" i="34" s="1"/>
  <c r="W33" i="34"/>
  <c r="F34" i="34"/>
  <c r="G34" i="34"/>
  <c r="H34" i="34"/>
  <c r="I34" i="34"/>
  <c r="J34" i="34"/>
  <c r="K34" i="34"/>
  <c r="L34" i="34"/>
  <c r="M34" i="34"/>
  <c r="O34" i="34"/>
  <c r="P34" i="34"/>
  <c r="Q34" i="34"/>
  <c r="R34" i="34"/>
  <c r="S34" i="34"/>
  <c r="T34" i="34"/>
  <c r="U34" i="34"/>
  <c r="V34" i="34"/>
  <c r="D5" i="33"/>
  <c r="N5" i="33"/>
  <c r="N34" i="33" s="1"/>
  <c r="W5" i="33"/>
  <c r="X5" i="33"/>
  <c r="N6" i="33"/>
  <c r="W6" i="33"/>
  <c r="X6" i="33" s="1"/>
  <c r="N7" i="33"/>
  <c r="X7" i="33" s="1"/>
  <c r="W7" i="33"/>
  <c r="N8" i="33"/>
  <c r="W8" i="33"/>
  <c r="W34" i="33" s="1"/>
  <c r="N9" i="33"/>
  <c r="X9" i="33" s="1"/>
  <c r="W9" i="33"/>
  <c r="N10" i="33"/>
  <c r="W10" i="33"/>
  <c r="X10" i="33"/>
  <c r="N11" i="33"/>
  <c r="W11" i="33"/>
  <c r="X11" i="33"/>
  <c r="N12" i="33"/>
  <c r="W12" i="33"/>
  <c r="X12" i="33"/>
  <c r="N13" i="33"/>
  <c r="X13" i="33" s="1"/>
  <c r="W13" i="33"/>
  <c r="N14" i="33"/>
  <c r="X14" i="33" s="1"/>
  <c r="W14" i="33"/>
  <c r="N15" i="33"/>
  <c r="X15" i="33" s="1"/>
  <c r="W15" i="33"/>
  <c r="N16" i="33"/>
  <c r="X16" i="33" s="1"/>
  <c r="W16" i="33"/>
  <c r="N17" i="33"/>
  <c r="W17" i="33"/>
  <c r="X17" i="33" s="1"/>
  <c r="N18" i="33"/>
  <c r="W18" i="33"/>
  <c r="X18" i="33"/>
  <c r="N19" i="33"/>
  <c r="W19" i="33"/>
  <c r="X19" i="33"/>
  <c r="N20" i="33"/>
  <c r="X20" i="33" s="1"/>
  <c r="W20" i="33"/>
  <c r="N21" i="33"/>
  <c r="W21" i="33"/>
  <c r="X21" i="33"/>
  <c r="N22" i="33"/>
  <c r="X22" i="33" s="1"/>
  <c r="W22" i="33"/>
  <c r="N23" i="33"/>
  <c r="X23" i="33" s="1"/>
  <c r="W23" i="33"/>
  <c r="N24" i="33"/>
  <c r="W24" i="33"/>
  <c r="X24" i="33"/>
  <c r="N25" i="33"/>
  <c r="W25" i="33"/>
  <c r="X25" i="33"/>
  <c r="N26" i="33"/>
  <c r="W26" i="33"/>
  <c r="X26" i="33" s="1"/>
  <c r="N27" i="33"/>
  <c r="X27" i="33" s="1"/>
  <c r="W27" i="33"/>
  <c r="N28" i="33"/>
  <c r="W28" i="33"/>
  <c r="X28" i="33" s="1"/>
  <c r="N29" i="33"/>
  <c r="X29" i="33" s="1"/>
  <c r="W29" i="33"/>
  <c r="N30" i="33"/>
  <c r="W30" i="33"/>
  <c r="X30" i="33"/>
  <c r="N31" i="33"/>
  <c r="W31" i="33"/>
  <c r="X31" i="33"/>
  <c r="N32" i="33"/>
  <c r="W32" i="33"/>
  <c r="X32" i="33"/>
  <c r="N33" i="33"/>
  <c r="X33" i="33" s="1"/>
  <c r="W33" i="33"/>
  <c r="F34" i="33"/>
  <c r="G34" i="33"/>
  <c r="H34" i="33"/>
  <c r="I34" i="33"/>
  <c r="J34" i="33"/>
  <c r="K34" i="33"/>
  <c r="L34" i="33"/>
  <c r="M34" i="33"/>
  <c r="O34" i="33"/>
  <c r="P34" i="33"/>
  <c r="Q34" i="33"/>
  <c r="R34" i="33"/>
  <c r="S34" i="33"/>
  <c r="T34" i="33"/>
  <c r="U34" i="33"/>
  <c r="V34" i="33"/>
  <c r="D5" i="32"/>
  <c r="N5" i="32"/>
  <c r="N34" i="32" s="1"/>
  <c r="W5" i="32"/>
  <c r="N6" i="32"/>
  <c r="X6" i="32" s="1"/>
  <c r="W6" i="32"/>
  <c r="N7" i="32"/>
  <c r="X7" i="32" s="1"/>
  <c r="W7" i="32"/>
  <c r="N8" i="32"/>
  <c r="W8" i="32"/>
  <c r="X8" i="32" s="1"/>
  <c r="N9" i="32"/>
  <c r="W9" i="32"/>
  <c r="X9" i="32" s="1"/>
  <c r="N10" i="32"/>
  <c r="W10" i="32"/>
  <c r="X10" i="32"/>
  <c r="N11" i="32"/>
  <c r="W11" i="32"/>
  <c r="X11" i="32"/>
  <c r="N12" i="32"/>
  <c r="W12" i="32"/>
  <c r="X12" i="32"/>
  <c r="N13" i="32"/>
  <c r="W13" i="32"/>
  <c r="W34" i="32" s="1"/>
  <c r="X13" i="32"/>
  <c r="N14" i="32"/>
  <c r="X14" i="32" s="1"/>
  <c r="W14" i="32"/>
  <c r="N15" i="32"/>
  <c r="W15" i="32"/>
  <c r="X15" i="32"/>
  <c r="N16" i="32"/>
  <c r="X16" i="32" s="1"/>
  <c r="W16" i="32"/>
  <c r="N17" i="32"/>
  <c r="W17" i="32"/>
  <c r="X17" i="32" s="1"/>
  <c r="N18" i="32"/>
  <c r="X18" i="32" s="1"/>
  <c r="W18" i="32"/>
  <c r="N19" i="32"/>
  <c r="W19" i="32"/>
  <c r="X19" i="32" s="1"/>
  <c r="N20" i="32"/>
  <c r="X20" i="32" s="1"/>
  <c r="W20" i="32"/>
  <c r="N21" i="32"/>
  <c r="W21" i="32"/>
  <c r="X21" i="32"/>
  <c r="N22" i="32"/>
  <c r="W22" i="32"/>
  <c r="X22" i="32"/>
  <c r="N23" i="32"/>
  <c r="W23" i="32"/>
  <c r="X23" i="32"/>
  <c r="N24" i="32"/>
  <c r="X24" i="32" s="1"/>
  <c r="W24" i="32"/>
  <c r="N25" i="32"/>
  <c r="X25" i="32" s="1"/>
  <c r="W25" i="32"/>
  <c r="N26" i="32"/>
  <c r="X26" i="32" s="1"/>
  <c r="W26" i="32"/>
  <c r="N27" i="32"/>
  <c r="X27" i="32" s="1"/>
  <c r="W27" i="32"/>
  <c r="N28" i="32"/>
  <c r="W28" i="32"/>
  <c r="X28" i="32" s="1"/>
  <c r="N29" i="32"/>
  <c r="W29" i="32"/>
  <c r="X29" i="32" s="1"/>
  <c r="N30" i="32"/>
  <c r="W30" i="32"/>
  <c r="X30" i="32"/>
  <c r="N31" i="32"/>
  <c r="W31" i="32"/>
  <c r="X31" i="32"/>
  <c r="N32" i="32"/>
  <c r="W32" i="32"/>
  <c r="X32" i="32"/>
  <c r="N33" i="32"/>
  <c r="W33" i="32"/>
  <c r="X33" i="32"/>
  <c r="F34" i="32"/>
  <c r="G34" i="32"/>
  <c r="H34" i="32"/>
  <c r="I34" i="32"/>
  <c r="J34" i="32"/>
  <c r="K34" i="32"/>
  <c r="L34" i="32"/>
  <c r="M34" i="32"/>
  <c r="O34" i="32"/>
  <c r="P34" i="32"/>
  <c r="Q34" i="32"/>
  <c r="R34" i="32"/>
  <c r="S34" i="32"/>
  <c r="T34" i="32"/>
  <c r="U34" i="32"/>
  <c r="V34" i="32"/>
  <c r="D5" i="31"/>
  <c r="N5" i="31"/>
  <c r="X5" i="31" s="1"/>
  <c r="W5" i="31"/>
  <c r="N6" i="31"/>
  <c r="W6" i="31"/>
  <c r="W33" i="31" s="1"/>
  <c r="X6" i="31"/>
  <c r="N7" i="31"/>
  <c r="X7" i="31" s="1"/>
  <c r="W7" i="31"/>
  <c r="N8" i="31"/>
  <c r="W8" i="31"/>
  <c r="X8" i="31" s="1"/>
  <c r="N9" i="31"/>
  <c r="X9" i="31" s="1"/>
  <c r="W9" i="31"/>
  <c r="N10" i="31"/>
  <c r="X10" i="31" s="1"/>
  <c r="W10" i="31"/>
  <c r="N11" i="31"/>
  <c r="X11" i="31" s="1"/>
  <c r="W11" i="31"/>
  <c r="N12" i="31"/>
  <c r="W12" i="31"/>
  <c r="X12" i="31"/>
  <c r="N13" i="31"/>
  <c r="W13" i="31"/>
  <c r="X13" i="31"/>
  <c r="N14" i="31"/>
  <c r="W14" i="31"/>
  <c r="X14" i="31"/>
  <c r="N15" i="31"/>
  <c r="X15" i="31" s="1"/>
  <c r="W15" i="31"/>
  <c r="N16" i="31"/>
  <c r="X16" i="31" s="1"/>
  <c r="W16" i="31"/>
  <c r="N17" i="31"/>
  <c r="X17" i="31" s="1"/>
  <c r="W17" i="31"/>
  <c r="N18" i="31"/>
  <c r="X18" i="31" s="1"/>
  <c r="W18" i="31"/>
  <c r="N19" i="31"/>
  <c r="X19" i="31" s="1"/>
  <c r="W19" i="31"/>
  <c r="N20" i="31"/>
  <c r="W20" i="31"/>
  <c r="X20" i="31" s="1"/>
  <c r="N21" i="31"/>
  <c r="W21" i="31"/>
  <c r="X21" i="31"/>
  <c r="N22" i="31"/>
  <c r="W22" i="31"/>
  <c r="X22" i="31"/>
  <c r="N23" i="31"/>
  <c r="W23" i="31"/>
  <c r="X23" i="31"/>
  <c r="N24" i="31"/>
  <c r="W24" i="31"/>
  <c r="X24" i="31" s="1"/>
  <c r="N25" i="31"/>
  <c r="X25" i="31" s="1"/>
  <c r="W25" i="31"/>
  <c r="N26" i="31"/>
  <c r="W26" i="31"/>
  <c r="X26" i="31"/>
  <c r="N27" i="31"/>
  <c r="X27" i="31" s="1"/>
  <c r="W27" i="31"/>
  <c r="N28" i="31"/>
  <c r="W28" i="31"/>
  <c r="X28" i="31" s="1"/>
  <c r="N29" i="31"/>
  <c r="X29" i="31" s="1"/>
  <c r="W29" i="31"/>
  <c r="N30" i="31"/>
  <c r="X30" i="31" s="1"/>
  <c r="W30" i="31"/>
  <c r="N31" i="31"/>
  <c r="X31" i="31" s="1"/>
  <c r="W31" i="31"/>
  <c r="N32" i="31"/>
  <c r="W32" i="31"/>
  <c r="X32" i="31"/>
  <c r="F33" i="31"/>
  <c r="G33" i="31"/>
  <c r="H33" i="31"/>
  <c r="I33" i="31"/>
  <c r="J33" i="31"/>
  <c r="K33" i="31"/>
  <c r="L33" i="31"/>
  <c r="M33" i="31"/>
  <c r="O33" i="31"/>
  <c r="P33" i="31"/>
  <c r="Q33" i="31"/>
  <c r="R33" i="31"/>
  <c r="S33" i="31"/>
  <c r="T33" i="31"/>
  <c r="U33" i="31"/>
  <c r="V33" i="31"/>
  <c r="D5" i="30"/>
  <c r="N5" i="30"/>
  <c r="W5" i="30"/>
  <c r="W32" i="30" s="1"/>
  <c r="X5" i="30"/>
  <c r="N6" i="30"/>
  <c r="W6" i="30"/>
  <c r="X6" i="30"/>
  <c r="N7" i="30"/>
  <c r="X7" i="30" s="1"/>
  <c r="W7" i="30"/>
  <c r="N8" i="30"/>
  <c r="X8" i="30" s="1"/>
  <c r="W8" i="30"/>
  <c r="N9" i="30"/>
  <c r="N32" i="30" s="1"/>
  <c r="W9" i="30"/>
  <c r="N10" i="30"/>
  <c r="X10" i="30" s="1"/>
  <c r="W10" i="30"/>
  <c r="N11" i="30"/>
  <c r="X11" i="30" s="1"/>
  <c r="W11" i="30"/>
  <c r="N12" i="30"/>
  <c r="W12" i="30"/>
  <c r="X12" i="30" s="1"/>
  <c r="N13" i="30"/>
  <c r="W13" i="30"/>
  <c r="X13" i="30"/>
  <c r="N14" i="30"/>
  <c r="W14" i="30"/>
  <c r="X14" i="30"/>
  <c r="N15" i="30"/>
  <c r="W15" i="30"/>
  <c r="X15" i="30"/>
  <c r="N16" i="30"/>
  <c r="W16" i="30"/>
  <c r="X16" i="30"/>
  <c r="N17" i="30"/>
  <c r="X17" i="30" s="1"/>
  <c r="W17" i="30"/>
  <c r="N18" i="30"/>
  <c r="X18" i="30" s="1"/>
  <c r="W18" i="30"/>
  <c r="N19" i="30"/>
  <c r="X19" i="30" s="1"/>
  <c r="W19" i="30"/>
  <c r="N20" i="30"/>
  <c r="W20" i="30"/>
  <c r="X20" i="30" s="1"/>
  <c r="N21" i="30"/>
  <c r="X21" i="30" s="1"/>
  <c r="W21" i="30"/>
  <c r="N22" i="30"/>
  <c r="X22" i="30" s="1"/>
  <c r="W22" i="30"/>
  <c r="N23" i="30"/>
  <c r="X23" i="30" s="1"/>
  <c r="W23" i="30"/>
  <c r="N24" i="30"/>
  <c r="W24" i="30"/>
  <c r="X24" i="30"/>
  <c r="N25" i="30"/>
  <c r="W25" i="30"/>
  <c r="X25" i="30"/>
  <c r="N26" i="30"/>
  <c r="W26" i="30"/>
  <c r="X26" i="30"/>
  <c r="N27" i="30"/>
  <c r="X27" i="30" s="1"/>
  <c r="W27" i="30"/>
  <c r="N28" i="30"/>
  <c r="X28" i="30" s="1"/>
  <c r="W28" i="30"/>
  <c r="N29" i="30"/>
  <c r="X29" i="30" s="1"/>
  <c r="W29" i="30"/>
  <c r="N30" i="30"/>
  <c r="X30" i="30" s="1"/>
  <c r="W30" i="30"/>
  <c r="N31" i="30"/>
  <c r="X31" i="30" s="1"/>
  <c r="W31" i="30"/>
  <c r="F32" i="30"/>
  <c r="G32" i="30"/>
  <c r="H32" i="30"/>
  <c r="I32" i="30"/>
  <c r="J32" i="30"/>
  <c r="K32" i="30"/>
  <c r="L32" i="30"/>
  <c r="M32" i="30"/>
  <c r="O32" i="30"/>
  <c r="P32" i="30"/>
  <c r="Q32" i="30"/>
  <c r="R32" i="30"/>
  <c r="S32" i="30"/>
  <c r="U32" i="30"/>
  <c r="V32" i="30"/>
  <c r="D5" i="29"/>
  <c r="N5" i="29"/>
  <c r="W5" i="29"/>
  <c r="W32" i="29" s="1"/>
  <c r="X5" i="29"/>
  <c r="N6" i="29"/>
  <c r="W6" i="29"/>
  <c r="X6" i="29"/>
  <c r="N7" i="29"/>
  <c r="X7" i="29" s="1"/>
  <c r="W7" i="29"/>
  <c r="N8" i="29"/>
  <c r="N32" i="29" s="1"/>
  <c r="W8" i="29"/>
  <c r="N9" i="29"/>
  <c r="X9" i="29" s="1"/>
  <c r="W9" i="29"/>
  <c r="N10" i="29"/>
  <c r="X10" i="29" s="1"/>
  <c r="W10" i="29"/>
  <c r="N11" i="29"/>
  <c r="X11" i="29" s="1"/>
  <c r="W11" i="29"/>
  <c r="N12" i="29"/>
  <c r="W12" i="29"/>
  <c r="X12" i="29" s="1"/>
  <c r="N13" i="29"/>
  <c r="W13" i="29"/>
  <c r="X13" i="29"/>
  <c r="N14" i="29"/>
  <c r="W14" i="29"/>
  <c r="X14" i="29"/>
  <c r="N15" i="29"/>
  <c r="W15" i="29"/>
  <c r="X15" i="29"/>
  <c r="N16" i="29"/>
  <c r="W16" i="29"/>
  <c r="X16" i="29"/>
  <c r="N17" i="29"/>
  <c r="X17" i="29" s="1"/>
  <c r="W17" i="29"/>
  <c r="N18" i="29"/>
  <c r="X18" i="29" s="1"/>
  <c r="W18" i="29"/>
  <c r="N19" i="29"/>
  <c r="X19" i="29" s="1"/>
  <c r="W19" i="29"/>
  <c r="N20" i="29"/>
  <c r="W20" i="29"/>
  <c r="X20" i="29" s="1"/>
  <c r="N21" i="29"/>
  <c r="X21" i="29" s="1"/>
  <c r="W21" i="29"/>
  <c r="N22" i="29"/>
  <c r="X22" i="29" s="1"/>
  <c r="W22" i="29"/>
  <c r="N23" i="29"/>
  <c r="X23" i="29" s="1"/>
  <c r="W23" i="29"/>
  <c r="N24" i="29"/>
  <c r="W24" i="29"/>
  <c r="X24" i="29"/>
  <c r="N25" i="29"/>
  <c r="W25" i="29"/>
  <c r="X25" i="29"/>
  <c r="N26" i="29"/>
  <c r="W26" i="29"/>
  <c r="X26" i="29"/>
  <c r="N27" i="29"/>
  <c r="X27" i="29" s="1"/>
  <c r="W27" i="29"/>
  <c r="N28" i="29"/>
  <c r="X28" i="29" s="1"/>
  <c r="W28" i="29"/>
  <c r="N29" i="29"/>
  <c r="X29" i="29" s="1"/>
  <c r="W29" i="29"/>
  <c r="N30" i="29"/>
  <c r="X30" i="29" s="1"/>
  <c r="W30" i="29"/>
  <c r="N31" i="29"/>
  <c r="X31" i="29" s="1"/>
  <c r="W31" i="29"/>
  <c r="F32" i="29"/>
  <c r="G32" i="29"/>
  <c r="H32" i="29"/>
  <c r="I32" i="29"/>
  <c r="J32" i="29"/>
  <c r="K32" i="29"/>
  <c r="L32" i="29"/>
  <c r="M32" i="29"/>
  <c r="O32" i="29"/>
  <c r="P32" i="29"/>
  <c r="Q32" i="29"/>
  <c r="R32" i="29"/>
  <c r="S32" i="29"/>
  <c r="U32" i="29"/>
  <c r="V32" i="29"/>
  <c r="D5" i="27"/>
  <c r="N5" i="27"/>
  <c r="W5" i="27"/>
  <c r="X5" i="27"/>
  <c r="N6" i="27"/>
  <c r="W6" i="27"/>
  <c r="X6" i="27"/>
  <c r="N7" i="27"/>
  <c r="X7" i="27" s="1"/>
  <c r="W7" i="27"/>
  <c r="N8" i="27"/>
  <c r="N31" i="27" s="1"/>
  <c r="W8" i="27"/>
  <c r="N9" i="27"/>
  <c r="X9" i="27" s="1"/>
  <c r="W9" i="27"/>
  <c r="N10" i="27"/>
  <c r="X10" i="27" s="1"/>
  <c r="W10" i="27"/>
  <c r="N11" i="27"/>
  <c r="X11" i="27" s="1"/>
  <c r="W11" i="27"/>
  <c r="N12" i="27"/>
  <c r="W12" i="27"/>
  <c r="X12" i="27" s="1"/>
  <c r="N13" i="27"/>
  <c r="W13" i="27"/>
  <c r="X13" i="27"/>
  <c r="N14" i="27"/>
  <c r="W14" i="27"/>
  <c r="X14" i="27"/>
  <c r="N15" i="27"/>
  <c r="W15" i="27"/>
  <c r="X15" i="27"/>
  <c r="N16" i="27"/>
  <c r="W16" i="27"/>
  <c r="X16" i="27"/>
  <c r="N17" i="27"/>
  <c r="X17" i="27" s="1"/>
  <c r="W17" i="27"/>
  <c r="N18" i="27"/>
  <c r="X18" i="27" s="1"/>
  <c r="W18" i="27"/>
  <c r="N19" i="27"/>
  <c r="X19" i="27" s="1"/>
  <c r="W19" i="27"/>
  <c r="N20" i="27"/>
  <c r="W20" i="27"/>
  <c r="X20" i="27" s="1"/>
  <c r="N21" i="27"/>
  <c r="X21" i="27" s="1"/>
  <c r="W21" i="27"/>
  <c r="N22" i="27"/>
  <c r="X22" i="27" s="1"/>
  <c r="W22" i="27"/>
  <c r="W31" i="27" s="1"/>
  <c r="N23" i="27"/>
  <c r="X23" i="27" s="1"/>
  <c r="W23" i="27"/>
  <c r="N24" i="27"/>
  <c r="W24" i="27"/>
  <c r="X24" i="27"/>
  <c r="N25" i="27"/>
  <c r="W25" i="27"/>
  <c r="X25" i="27"/>
  <c r="N26" i="27"/>
  <c r="W26" i="27"/>
  <c r="X26" i="27"/>
  <c r="N27" i="27"/>
  <c r="X27" i="27" s="1"/>
  <c r="W27" i="27"/>
  <c r="N28" i="27"/>
  <c r="X28" i="27" s="1"/>
  <c r="W28" i="27"/>
  <c r="N29" i="27"/>
  <c r="X29" i="27" s="1"/>
  <c r="W29" i="27"/>
  <c r="N30" i="27"/>
  <c r="X30" i="27" s="1"/>
  <c r="W30" i="27"/>
  <c r="F31" i="27"/>
  <c r="G31" i="27"/>
  <c r="H31" i="27"/>
  <c r="I31" i="27"/>
  <c r="J31" i="27"/>
  <c r="K31" i="27"/>
  <c r="L31" i="27"/>
  <c r="M31" i="27"/>
  <c r="O31" i="27"/>
  <c r="P31" i="27"/>
  <c r="Q31" i="27"/>
  <c r="R31" i="27"/>
  <c r="S31" i="27"/>
  <c r="U31" i="27"/>
  <c r="V31" i="27"/>
  <c r="D5" i="38"/>
  <c r="G5" i="38"/>
  <c r="K5" i="38"/>
  <c r="L5" i="38"/>
  <c r="G6" i="38"/>
  <c r="K6" i="38"/>
  <c r="L6" i="38"/>
  <c r="G7" i="38"/>
  <c r="K7" i="38"/>
  <c r="L7" i="38"/>
  <c r="G8" i="38"/>
  <c r="G33" i="38" s="1"/>
  <c r="K8" i="38"/>
  <c r="K33" i="38" s="1"/>
  <c r="G9" i="38"/>
  <c r="L9" i="38" s="1"/>
  <c r="K9" i="38"/>
  <c r="G10" i="38"/>
  <c r="L10" i="38" s="1"/>
  <c r="K10" i="38"/>
  <c r="G11" i="38"/>
  <c r="L11" i="38" s="1"/>
  <c r="K11" i="38"/>
  <c r="G12" i="38"/>
  <c r="L12" i="38" s="1"/>
  <c r="K12" i="38"/>
  <c r="G13" i="38"/>
  <c r="K13" i="38"/>
  <c r="L13" i="38" s="1"/>
  <c r="G14" i="38"/>
  <c r="K14" i="38"/>
  <c r="L14" i="38"/>
  <c r="G15" i="38"/>
  <c r="K15" i="38"/>
  <c r="L15" i="38"/>
  <c r="G16" i="38"/>
  <c r="K16" i="38"/>
  <c r="L16" i="38"/>
  <c r="G17" i="38"/>
  <c r="K17" i="38"/>
  <c r="L17" i="38"/>
  <c r="G18" i="38"/>
  <c r="L18" i="38" s="1"/>
  <c r="K18" i="38"/>
  <c r="G19" i="38"/>
  <c r="L19" i="38" s="1"/>
  <c r="K19" i="38"/>
  <c r="G20" i="38"/>
  <c r="L20" i="38" s="1"/>
  <c r="K20" i="38"/>
  <c r="G21" i="38"/>
  <c r="K21" i="38"/>
  <c r="L21" i="38" s="1"/>
  <c r="G22" i="38"/>
  <c r="L22" i="38" s="1"/>
  <c r="K22" i="38"/>
  <c r="G23" i="38"/>
  <c r="L23" i="38" s="1"/>
  <c r="K23" i="38"/>
  <c r="G24" i="38"/>
  <c r="L24" i="38" s="1"/>
  <c r="K24" i="38"/>
  <c r="G25" i="38"/>
  <c r="K25" i="38"/>
  <c r="L25" i="38"/>
  <c r="G26" i="38"/>
  <c r="K26" i="38"/>
  <c r="L26" i="38"/>
  <c r="G27" i="38"/>
  <c r="K27" i="38"/>
  <c r="L27" i="38"/>
  <c r="G28" i="38"/>
  <c r="L28" i="38" s="1"/>
  <c r="K28" i="38"/>
  <c r="G29" i="38"/>
  <c r="L29" i="38" s="1"/>
  <c r="K29" i="38"/>
  <c r="G30" i="38"/>
  <c r="L30" i="38" s="1"/>
  <c r="K30" i="38"/>
  <c r="G31" i="38"/>
  <c r="L31" i="38" s="1"/>
  <c r="K31" i="38"/>
  <c r="G32" i="38"/>
  <c r="L32" i="38" s="1"/>
  <c r="K32" i="38"/>
  <c r="F33" i="38"/>
  <c r="H33" i="38"/>
  <c r="I33" i="38"/>
  <c r="J33" i="38"/>
  <c r="D5" i="26"/>
  <c r="N5" i="26"/>
  <c r="N33" i="26" s="1"/>
  <c r="W5" i="26"/>
  <c r="X5" i="26"/>
  <c r="N6" i="26"/>
  <c r="X6" i="26" s="1"/>
  <c r="W6" i="26"/>
  <c r="W33" i="26" s="1"/>
  <c r="N7" i="26"/>
  <c r="X7" i="26" s="1"/>
  <c r="W7" i="26"/>
  <c r="N8" i="26"/>
  <c r="X8" i="26" s="1"/>
  <c r="W8" i="26"/>
  <c r="N9" i="26"/>
  <c r="W9" i="26"/>
  <c r="X9" i="26" s="1"/>
  <c r="N10" i="26"/>
  <c r="W10" i="26"/>
  <c r="X10" i="26"/>
  <c r="N11" i="26"/>
  <c r="X11" i="26" s="1"/>
  <c r="W11" i="26"/>
  <c r="N12" i="26"/>
  <c r="W12" i="26"/>
  <c r="X12" i="26"/>
  <c r="N13" i="26"/>
  <c r="W13" i="26"/>
  <c r="X13" i="26"/>
  <c r="N14" i="26"/>
  <c r="X14" i="26" s="1"/>
  <c r="W14" i="26"/>
  <c r="N15" i="26"/>
  <c r="W15" i="26"/>
  <c r="X15" i="26"/>
  <c r="N16" i="26"/>
  <c r="X16" i="26" s="1"/>
  <c r="W16" i="26"/>
  <c r="N17" i="26"/>
  <c r="W17" i="26"/>
  <c r="X17" i="26"/>
  <c r="N18" i="26"/>
  <c r="X18" i="26" s="1"/>
  <c r="W18" i="26"/>
  <c r="N19" i="26"/>
  <c r="X19" i="26" s="1"/>
  <c r="W19" i="26"/>
  <c r="N20" i="26"/>
  <c r="X20" i="26" s="1"/>
  <c r="W20" i="26"/>
  <c r="N21" i="26"/>
  <c r="W21" i="26"/>
  <c r="X21" i="26"/>
  <c r="N22" i="26"/>
  <c r="W22" i="26"/>
  <c r="X22" i="26"/>
  <c r="N23" i="26"/>
  <c r="W23" i="26"/>
  <c r="X23" i="26"/>
  <c r="N24" i="26"/>
  <c r="X24" i="26" s="1"/>
  <c r="W24" i="26"/>
  <c r="N25" i="26"/>
  <c r="W25" i="26"/>
  <c r="X25" i="26"/>
  <c r="N26" i="26"/>
  <c r="X26" i="26" s="1"/>
  <c r="W26" i="26"/>
  <c r="N27" i="26"/>
  <c r="X27" i="26" s="1"/>
  <c r="W27" i="26"/>
  <c r="N28" i="26"/>
  <c r="X28" i="26" s="1"/>
  <c r="W28" i="26"/>
  <c r="N29" i="26"/>
  <c r="W29" i="26"/>
  <c r="X29" i="26" s="1"/>
  <c r="N30" i="26"/>
  <c r="W30" i="26"/>
  <c r="X30" i="26"/>
  <c r="N31" i="26"/>
  <c r="W31" i="26"/>
  <c r="X31" i="26"/>
  <c r="N32" i="26"/>
  <c r="W32" i="26"/>
  <c r="X32" i="26"/>
  <c r="F33" i="26"/>
  <c r="G33" i="26"/>
  <c r="H33" i="26"/>
  <c r="I33" i="26"/>
  <c r="J33" i="26"/>
  <c r="K33" i="26"/>
  <c r="L33" i="26"/>
  <c r="M33" i="26"/>
  <c r="O33" i="26"/>
  <c r="P33" i="26"/>
  <c r="Q33" i="26"/>
  <c r="R33" i="26"/>
  <c r="S33" i="26"/>
  <c r="T33" i="26"/>
  <c r="U33" i="26"/>
  <c r="V33" i="26"/>
  <c r="D5" i="28"/>
  <c r="G5" i="28"/>
  <c r="G33" i="28" s="1"/>
  <c r="L5" i="28"/>
  <c r="G6" i="28"/>
  <c r="L6" i="28" s="1"/>
  <c r="G7" i="28"/>
  <c r="L7" i="28"/>
  <c r="G8" i="28"/>
  <c r="L8" i="28" s="1"/>
  <c r="G9" i="28"/>
  <c r="L9" i="28"/>
  <c r="G10" i="28"/>
  <c r="L10" i="28" s="1"/>
  <c r="G11" i="28"/>
  <c r="L11" i="28" s="1"/>
  <c r="G12" i="28"/>
  <c r="L12" i="28"/>
  <c r="G13" i="28"/>
  <c r="L13" i="28" s="1"/>
  <c r="G14" i="28"/>
  <c r="L14" i="28"/>
  <c r="G15" i="28"/>
  <c r="L15" i="28"/>
  <c r="G16" i="28"/>
  <c r="L16" i="28" s="1"/>
  <c r="G17" i="28"/>
  <c r="L17" i="28"/>
  <c r="G18" i="28"/>
  <c r="L18" i="28" s="1"/>
  <c r="G19" i="28"/>
  <c r="L19" i="28"/>
  <c r="G20" i="28"/>
  <c r="L20" i="28" s="1"/>
  <c r="G21" i="28"/>
  <c r="L21" i="28"/>
  <c r="G22" i="28"/>
  <c r="L22" i="28"/>
  <c r="G23" i="28"/>
  <c r="L23" i="28" s="1"/>
  <c r="G24" i="28"/>
  <c r="L24" i="28"/>
  <c r="G25" i="28"/>
  <c r="L25" i="28"/>
  <c r="G26" i="28"/>
  <c r="L26" i="28" s="1"/>
  <c r="G27" i="28"/>
  <c r="L27" i="28"/>
  <c r="G28" i="28"/>
  <c r="L28" i="28" s="1"/>
  <c r="G29" i="28"/>
  <c r="L29" i="28"/>
  <c r="G30" i="28"/>
  <c r="L30" i="28" s="1"/>
  <c r="G31" i="28"/>
  <c r="L31" i="28"/>
  <c r="G32" i="28"/>
  <c r="L32" i="28"/>
  <c r="F33" i="28"/>
  <c r="H33" i="28"/>
  <c r="I33" i="28"/>
  <c r="J33" i="28"/>
  <c r="K33" i="28"/>
  <c r="D5" i="2"/>
  <c r="N5" i="2"/>
  <c r="X5" i="2"/>
  <c r="N6" i="2"/>
  <c r="X6" i="2" s="1"/>
  <c r="N7" i="2"/>
  <c r="X7" i="2"/>
  <c r="N8" i="2"/>
  <c r="X8" i="2" s="1"/>
  <c r="N9" i="2"/>
  <c r="X9" i="2" s="1"/>
  <c r="N10" i="2"/>
  <c r="X10" i="2"/>
  <c r="N11" i="2"/>
  <c r="X11" i="2" s="1"/>
  <c r="N12" i="2"/>
  <c r="X12" i="2"/>
  <c r="N13" i="2"/>
  <c r="X13" i="2"/>
  <c r="N14" i="2"/>
  <c r="X14" i="2" s="1"/>
  <c r="N15" i="2"/>
  <c r="X15" i="2"/>
  <c r="N16" i="2"/>
  <c r="X16" i="2" s="1"/>
  <c r="N17" i="2"/>
  <c r="X17" i="2"/>
  <c r="N18" i="2"/>
  <c r="X18" i="2" s="1"/>
  <c r="N19" i="2"/>
  <c r="X19" i="2"/>
  <c r="N20" i="2"/>
  <c r="X20" i="2"/>
  <c r="N21" i="2"/>
  <c r="X21" i="2" s="1"/>
  <c r="N22" i="2"/>
  <c r="X22" i="2" s="1"/>
  <c r="N23" i="2"/>
  <c r="X23" i="2"/>
  <c r="N24" i="2"/>
  <c r="X24" i="2" s="1"/>
  <c r="N25" i="2"/>
  <c r="X25" i="2"/>
  <c r="N26" i="2"/>
  <c r="X26" i="2" s="1"/>
  <c r="N27" i="2"/>
  <c r="X27" i="2"/>
  <c r="N28" i="2"/>
  <c r="X28" i="2" s="1"/>
  <c r="N29" i="2"/>
  <c r="X29" i="2"/>
  <c r="N30" i="2"/>
  <c r="X30" i="2"/>
  <c r="N31" i="2"/>
  <c r="X31" i="2" s="1"/>
  <c r="N32" i="2"/>
  <c r="X32" i="2"/>
  <c r="F33" i="2"/>
  <c r="G33" i="2"/>
  <c r="H33" i="2"/>
  <c r="I33" i="2"/>
  <c r="J33" i="2"/>
  <c r="K33" i="2"/>
  <c r="L33" i="2"/>
  <c r="M33" i="2"/>
  <c r="O33" i="2"/>
  <c r="P33" i="2"/>
  <c r="Q33" i="2"/>
  <c r="R33" i="2"/>
  <c r="S33" i="2"/>
  <c r="U33" i="2"/>
  <c r="V33" i="2"/>
  <c r="W33" i="2"/>
  <c r="Y35" i="36" l="1"/>
  <c r="X33" i="26"/>
  <c r="X33" i="2"/>
  <c r="L34" i="37"/>
  <c r="X34" i="34"/>
  <c r="X33" i="31"/>
  <c r="Y35" i="39"/>
  <c r="L33" i="28"/>
  <c r="X9" i="30"/>
  <c r="X32" i="30" s="1"/>
  <c r="X8" i="33"/>
  <c r="X34" i="33" s="1"/>
  <c r="X7" i="35"/>
  <c r="X35" i="35" s="1"/>
  <c r="X5" i="32"/>
  <c r="X34" i="32" s="1"/>
  <c r="X8" i="27"/>
  <c r="X31" i="27" s="1"/>
  <c r="X8" i="29"/>
  <c r="X32" i="29" s="1"/>
  <c r="N34" i="34"/>
  <c r="L8" i="38"/>
  <c r="L33" i="38" s="1"/>
  <c r="N33" i="31"/>
  <c r="N33" i="2"/>
</calcChain>
</file>

<file path=xl/sharedStrings.xml><?xml version="1.0" encoding="utf-8"?>
<sst xmlns="http://schemas.openxmlformats.org/spreadsheetml/2006/main" count="1866" uniqueCount="145">
  <si>
    <t>Shin Jonghoon Bryan</t>
  </si>
  <si>
    <t>2019-01-01</t>
  </si>
  <si>
    <t>2019-03-11</t>
  </si>
  <si>
    <t>2020-03-12</t>
  </si>
  <si>
    <t>2020-10-19</t>
  </si>
  <si>
    <t>2020-10-23</t>
  </si>
  <si>
    <t>2021-03-15</t>
  </si>
  <si>
    <t>2021-11-16</t>
  </si>
  <si>
    <t>2014-04-01</t>
  </si>
  <si>
    <t>2013-12-20</t>
  </si>
  <si>
    <t>2014-01-20</t>
  </si>
  <si>
    <t>2014-08-05</t>
  </si>
  <si>
    <t>2015-03-16</t>
  </si>
  <si>
    <t>2015-12-01</t>
  </si>
  <si>
    <t>2015-11-19</t>
  </si>
  <si>
    <t>2019-03-01</t>
  </si>
  <si>
    <t>2018-01-22</t>
  </si>
  <si>
    <t>이재구</t>
    <phoneticPr fontId="2" type="noConversion"/>
  </si>
  <si>
    <t>서명교</t>
    <phoneticPr fontId="2" type="noConversion"/>
  </si>
  <si>
    <t>임가연</t>
    <phoneticPr fontId="2" type="noConversion"/>
  </si>
  <si>
    <t>정연우</t>
    <phoneticPr fontId="2" type="noConversion"/>
  </si>
  <si>
    <t>이지윤</t>
    <phoneticPr fontId="2" type="noConversion"/>
  </si>
  <si>
    <t>Hyeji Kwon</t>
  </si>
  <si>
    <t>Moonsoon Kim</t>
  </si>
  <si>
    <t>Saemyi Kwon</t>
  </si>
  <si>
    <t>Jaehong Park</t>
  </si>
  <si>
    <t>Minjoo Park</t>
  </si>
  <si>
    <t>Hyeonji Im</t>
  </si>
  <si>
    <t>Dawon Park</t>
  </si>
  <si>
    <t>Jinduk Seo</t>
  </si>
  <si>
    <t>Soonkook kwon</t>
  </si>
  <si>
    <t>Doocheol Choi</t>
  </si>
  <si>
    <t>Wonjae Park</t>
  </si>
  <si>
    <t>Jonghun Kim</t>
  </si>
  <si>
    <t>Kwangho Kim</t>
  </si>
  <si>
    <t>JeongHwan Jeong</t>
  </si>
  <si>
    <t>Kyungrok Mun</t>
  </si>
  <si>
    <t>Jinkyung Kim</t>
  </si>
  <si>
    <t>Chaeyeon Park</t>
  </si>
  <si>
    <t>Mina Lee</t>
  </si>
  <si>
    <t>Gitaek Byeon</t>
  </si>
  <si>
    <t>Mingun Song</t>
  </si>
  <si>
    <t>Inhye Nam</t>
  </si>
  <si>
    <t>Jooyeon Oh</t>
  </si>
  <si>
    <t>Jaego Lee</t>
  </si>
  <si>
    <t>Myounggyo Seo</t>
  </si>
  <si>
    <t>Gayeon Lim</t>
  </si>
  <si>
    <t>Yeonwoo Jeong</t>
  </si>
  <si>
    <t>Jiyun Lee</t>
  </si>
  <si>
    <t>2014-03-01</t>
  </si>
  <si>
    <t>남인혜</t>
    <phoneticPr fontId="2" type="noConversion"/>
  </si>
  <si>
    <t>오주연</t>
    <phoneticPr fontId="2" type="noConversion"/>
  </si>
  <si>
    <t>박수지</t>
    <phoneticPr fontId="2" type="noConversion"/>
  </si>
  <si>
    <t>Suji Park</t>
  </si>
  <si>
    <t>서진덕</t>
    <phoneticPr fontId="2" type="noConversion"/>
  </si>
  <si>
    <t>Yongseok Lee</t>
  </si>
  <si>
    <t>강현석</t>
    <phoneticPr fontId="2" type="noConversion"/>
  </si>
  <si>
    <t>Hyeonseok Kang</t>
  </si>
  <si>
    <t>이용석</t>
    <phoneticPr fontId="2" type="noConversion"/>
  </si>
  <si>
    <t>Start Date</t>
    <phoneticPr fontId="2" type="noConversion"/>
  </si>
  <si>
    <t>Name</t>
    <phoneticPr fontId="2" type="noConversion"/>
  </si>
  <si>
    <t>English Name</t>
    <phoneticPr fontId="2" type="noConversion"/>
  </si>
  <si>
    <t>Category</t>
    <phoneticPr fontId="2" type="noConversion"/>
  </si>
  <si>
    <t>Base Salary</t>
    <phoneticPr fontId="2" type="noConversion"/>
  </si>
  <si>
    <t>Car Allowance</t>
    <phoneticPr fontId="2" type="noConversion"/>
  </si>
  <si>
    <t>Production facility
manager allowance</t>
    <phoneticPr fontId="2" type="noConversion"/>
  </si>
  <si>
    <t>Retro Pay</t>
    <phoneticPr fontId="2" type="noConversion"/>
  </si>
  <si>
    <t>Employee
Benefit</t>
    <phoneticPr fontId="2" type="noConversion"/>
  </si>
  <si>
    <t>PTO Salary</t>
    <phoneticPr fontId="2" type="noConversion"/>
  </si>
  <si>
    <t>Overtime
 Payment</t>
    <phoneticPr fontId="2" type="noConversion"/>
  </si>
  <si>
    <t>Other</t>
    <phoneticPr fontId="2" type="noConversion"/>
  </si>
  <si>
    <t>Gross Salary</t>
    <phoneticPr fontId="2" type="noConversion"/>
  </si>
  <si>
    <t>Employee National
 Pension Contribution</t>
    <phoneticPr fontId="2" type="noConversion"/>
  </si>
  <si>
    <t>Employee Health
 Insurance Contribution</t>
    <phoneticPr fontId="2" type="noConversion"/>
  </si>
  <si>
    <t>Employee Health
insurance Contribution Adustment</t>
    <phoneticPr fontId="2" type="noConversion"/>
  </si>
  <si>
    <t>Employee Employment
 Insurance Contribution</t>
    <phoneticPr fontId="2" type="noConversion"/>
  </si>
  <si>
    <t>Long Term Care 
Insurance Contribution</t>
    <phoneticPr fontId="2" type="noConversion"/>
  </si>
  <si>
    <t>Year-end Tax</t>
    <phoneticPr fontId="2" type="noConversion"/>
  </si>
  <si>
    <t>Withholding Income Tax</t>
    <phoneticPr fontId="2" type="noConversion"/>
  </si>
  <si>
    <t>Withholding
 Income Tax</t>
    <phoneticPr fontId="2" type="noConversion"/>
  </si>
  <si>
    <t>Withholding Local
 Income Tax</t>
    <phoneticPr fontId="2" type="noConversion"/>
  </si>
  <si>
    <t>Total Deductions</t>
    <phoneticPr fontId="2" type="noConversion"/>
  </si>
  <si>
    <t xml:space="preserve"> Net Payment Amount</t>
    <phoneticPr fontId="2" type="noConversion"/>
  </si>
  <si>
    <t>(Unit : KRW)</t>
    <phoneticPr fontId="2" type="noConversion"/>
  </si>
  <si>
    <t>R&amp;D</t>
  </si>
  <si>
    <t>Executive</t>
  </si>
  <si>
    <t>SG&amp;A</t>
  </si>
  <si>
    <t>Production</t>
  </si>
  <si>
    <t>Total (28 Payees)</t>
    <phoneticPr fontId="2" type="noConversion"/>
  </si>
  <si>
    <t>Total</t>
    <phoneticPr fontId="2" type="noConversion"/>
  </si>
  <si>
    <t>Total (27 Payees)</t>
    <phoneticPr fontId="2" type="noConversion"/>
  </si>
  <si>
    <t>Bonus</t>
    <phoneticPr fontId="2" type="noConversion"/>
  </si>
  <si>
    <t>Withholding Local 
Income Tax</t>
    <phoneticPr fontId="2" type="noConversion"/>
  </si>
  <si>
    <t>Net Payment Amount</t>
    <phoneticPr fontId="2" type="noConversion"/>
  </si>
  <si>
    <t>Total  (28 Payees)</t>
    <phoneticPr fontId="2" type="noConversion"/>
  </si>
  <si>
    <t>Total (29 Payees)</t>
    <phoneticPr fontId="2" type="noConversion"/>
  </si>
  <si>
    <t>Salary Cut</t>
    <phoneticPr fontId="2" type="noConversion"/>
  </si>
  <si>
    <t>Total (26 Payees)</t>
    <phoneticPr fontId="2" type="noConversion"/>
  </si>
  <si>
    <t>Total (30 Payees)</t>
    <phoneticPr fontId="2" type="noConversion"/>
  </si>
  <si>
    <t>Total  (29 Payees)</t>
    <phoneticPr fontId="2" type="noConversion"/>
  </si>
  <si>
    <t>2025 December Payroll</t>
    <phoneticPr fontId="2" type="noConversion"/>
  </si>
  <si>
    <t>2025 November Payroll</t>
    <phoneticPr fontId="2" type="noConversion"/>
  </si>
  <si>
    <t>2025 October Bonus</t>
    <phoneticPr fontId="2" type="noConversion"/>
  </si>
  <si>
    <t>2025 October Payroll</t>
    <phoneticPr fontId="2" type="noConversion"/>
  </si>
  <si>
    <t>2025 September Payroll</t>
    <phoneticPr fontId="2" type="noConversion"/>
  </si>
  <si>
    <t>2025 August Payroll</t>
    <phoneticPr fontId="2" type="noConversion"/>
  </si>
  <si>
    <t>2025 July Payroll</t>
    <phoneticPr fontId="2" type="noConversion"/>
  </si>
  <si>
    <t>2025 June Payroll</t>
    <phoneticPr fontId="2" type="noConversion"/>
  </si>
  <si>
    <t>2025 May Payroll</t>
    <phoneticPr fontId="2" type="noConversion"/>
  </si>
  <si>
    <t>2025 April Payroll</t>
    <phoneticPr fontId="2" type="noConversion"/>
  </si>
  <si>
    <t>2025 March Payroll</t>
    <phoneticPr fontId="2" type="noConversion"/>
  </si>
  <si>
    <t>2025 January Bonus</t>
    <phoneticPr fontId="2" type="noConversion"/>
  </si>
  <si>
    <t>2025 January Payroll</t>
    <phoneticPr fontId="2" type="noConversion"/>
  </si>
  <si>
    <t>Total (28 Payees)</t>
  </si>
  <si>
    <t>권혜지</t>
  </si>
  <si>
    <t>김민순</t>
  </si>
  <si>
    <t>권샘이</t>
  </si>
  <si>
    <t>박재홍</t>
  </si>
  <si>
    <t>박민주</t>
  </si>
  <si>
    <t>임현지</t>
  </si>
  <si>
    <t>박다원</t>
  </si>
  <si>
    <t>서진덕</t>
  </si>
  <si>
    <t>권순국</t>
  </si>
  <si>
    <t>최두철</t>
  </si>
  <si>
    <t>박원재</t>
  </si>
  <si>
    <t>김종훈</t>
  </si>
  <si>
    <t>김광호</t>
  </si>
  <si>
    <t>정정환</t>
  </si>
  <si>
    <t>문경록</t>
  </si>
  <si>
    <t>김진경</t>
  </si>
  <si>
    <r>
      <rPr>
        <sz val="10"/>
        <color indexed="8"/>
        <rFont val="Calibri"/>
        <family val="2"/>
      </rPr>
      <t>박채연</t>
    </r>
  </si>
  <si>
    <r>
      <rPr>
        <sz val="10"/>
        <color indexed="8"/>
        <rFont val="Calibri"/>
        <family val="2"/>
      </rPr>
      <t>이미나</t>
    </r>
  </si>
  <si>
    <r>
      <rPr>
        <sz val="10"/>
        <color indexed="8"/>
        <rFont val="Calibri"/>
        <family val="2"/>
      </rPr>
      <t>변기택</t>
    </r>
  </si>
  <si>
    <r>
      <rPr>
        <sz val="10"/>
        <color indexed="8"/>
        <rFont val="Calibri"/>
        <family val="2"/>
      </rPr>
      <t>송민건</t>
    </r>
  </si>
  <si>
    <r>
      <rPr>
        <sz val="10"/>
        <color indexed="8"/>
        <rFont val="Calibri"/>
        <family val="2"/>
      </rPr>
      <t>남인혜</t>
    </r>
  </si>
  <si>
    <r>
      <rPr>
        <sz val="10"/>
        <color indexed="8"/>
        <rFont val="Calibri"/>
        <family val="2"/>
      </rPr>
      <t>오주연</t>
    </r>
  </si>
  <si>
    <r>
      <rPr>
        <sz val="10"/>
        <color indexed="8"/>
        <rFont val="Calibri"/>
        <family val="2"/>
      </rPr>
      <t>서진덕</t>
    </r>
  </si>
  <si>
    <t>이재구</t>
  </si>
  <si>
    <t>서명교</t>
  </si>
  <si>
    <t>임가연</t>
  </si>
  <si>
    <t>정연우</t>
  </si>
  <si>
    <t>박수지</t>
  </si>
  <si>
    <t>이용석</t>
  </si>
  <si>
    <t>2025 February Payroll</t>
  </si>
  <si>
    <t>2025 February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</si>
</sst>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sz val="10"/>
      <name val="Arial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4"/>
      <color indexed="8"/>
      <name val="Calibri"/>
      <family val="2"/>
    </font>
    <font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3" fontId="3" fillId="0" borderId="0" applyFont="0" applyFill="0" applyBorder="0" applyAlignment="0" applyProtection="0"/>
    <xf numFmtId="3" fontId="1" fillId="0" borderId="0" applyFont="0" applyFill="0" applyBorder="0" applyAlignment="0" applyProtection="0"/>
    <xf numFmtId="0" fontId="3" fillId="0" borderId="0"/>
    <xf numFmtId="0" fontId="1" fillId="0" borderId="0"/>
    <xf numFmtId="0" fontId="7" fillId="0" borderId="0"/>
  </cellStyleXfs>
  <cellXfs count="136">
    <xf numFmtId="0" fontId="0" fillId="0" borderId="0" xfId="0"/>
    <xf numFmtId="0" fontId="5" fillId="0" borderId="0" xfId="3" applyFont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2" xfId="3" applyFont="1" applyFill="1" applyBorder="1" applyAlignment="1">
      <alignment horizontal="center" vertical="center"/>
    </xf>
    <xf numFmtId="38" fontId="5" fillId="0" borderId="2" xfId="1" applyNumberFormat="1" applyFont="1" applyBorder="1" applyAlignment="1">
      <alignment vertical="center"/>
    </xf>
    <xf numFmtId="38" fontId="4" fillId="3" borderId="3" xfId="3" applyNumberFormat="1" applyFont="1" applyFill="1" applyBorder="1" applyAlignment="1">
      <alignment vertical="center"/>
    </xf>
    <xf numFmtId="38" fontId="5" fillId="0" borderId="4" xfId="1" applyNumberFormat="1" applyFont="1" applyBorder="1" applyAlignment="1">
      <alignment vertical="center"/>
    </xf>
    <xf numFmtId="38" fontId="4" fillId="3" borderId="5" xfId="1" applyNumberFormat="1" applyFont="1" applyFill="1" applyBorder="1" applyAlignment="1">
      <alignment vertical="center"/>
    </xf>
    <xf numFmtId="0" fontId="5" fillId="0" borderId="0" xfId="3" applyFont="1" applyAlignment="1">
      <alignment vertical="center"/>
    </xf>
    <xf numFmtId="0" fontId="6" fillId="3" borderId="6" xfId="3" applyFont="1" applyFill="1" applyBorder="1" applyAlignment="1">
      <alignment horizontal="center" vertical="center"/>
    </xf>
    <xf numFmtId="0" fontId="6" fillId="3" borderId="7" xfId="3" applyFont="1" applyFill="1" applyBorder="1" applyAlignment="1">
      <alignment horizontal="center" vertical="center"/>
    </xf>
    <xf numFmtId="38" fontId="5" fillId="0" borderId="7" xfId="1" applyNumberFormat="1" applyFont="1" applyBorder="1" applyAlignment="1">
      <alignment vertical="center"/>
    </xf>
    <xf numFmtId="38" fontId="4" fillId="3" borderId="8" xfId="3" applyNumberFormat="1" applyFont="1" applyFill="1" applyBorder="1" applyAlignment="1">
      <alignment vertical="center"/>
    </xf>
    <xf numFmtId="38" fontId="5" fillId="0" borderId="9" xfId="1" applyNumberFormat="1" applyFont="1" applyBorder="1" applyAlignment="1">
      <alignment vertical="center"/>
    </xf>
    <xf numFmtId="38" fontId="4" fillId="3" borderId="10" xfId="1" applyNumberFormat="1" applyFont="1" applyFill="1" applyBorder="1" applyAlignment="1">
      <alignment vertical="center"/>
    </xf>
    <xf numFmtId="0" fontId="6" fillId="3" borderId="11" xfId="3" applyFont="1" applyFill="1" applyBorder="1" applyAlignment="1">
      <alignment horizontal="center" vertical="center"/>
    </xf>
    <xf numFmtId="0" fontId="6" fillId="3" borderId="12" xfId="3" applyFont="1" applyFill="1" applyBorder="1" applyAlignment="1">
      <alignment horizontal="center" vertical="center"/>
    </xf>
    <xf numFmtId="38" fontId="5" fillId="0" borderId="12" xfId="1" applyNumberFormat="1" applyFont="1" applyBorder="1" applyAlignment="1">
      <alignment vertical="center"/>
    </xf>
    <xf numFmtId="38" fontId="4" fillId="3" borderId="13" xfId="3" applyNumberFormat="1" applyFont="1" applyFill="1" applyBorder="1" applyAlignment="1">
      <alignment vertical="center"/>
    </xf>
    <xf numFmtId="38" fontId="5" fillId="0" borderId="14" xfId="1" applyNumberFormat="1" applyFont="1" applyBorder="1" applyAlignment="1">
      <alignment vertical="center"/>
    </xf>
    <xf numFmtId="38" fontId="4" fillId="3" borderId="15" xfId="1" applyNumberFormat="1" applyFont="1" applyFill="1" applyBorder="1" applyAlignment="1">
      <alignment vertical="center"/>
    </xf>
    <xf numFmtId="14" fontId="6" fillId="3" borderId="11" xfId="3" applyNumberFormat="1" applyFont="1" applyFill="1" applyBorder="1" applyAlignment="1">
      <alignment horizontal="center" vertical="center"/>
    </xf>
    <xf numFmtId="0" fontId="8" fillId="3" borderId="12" xfId="3" applyFont="1" applyFill="1" applyBorder="1" applyAlignment="1">
      <alignment horizontal="center" vertical="center"/>
    </xf>
    <xf numFmtId="38" fontId="4" fillId="3" borderId="12" xfId="3" applyNumberFormat="1" applyFont="1" applyFill="1" applyBorder="1" applyAlignment="1">
      <alignment vertical="center"/>
    </xf>
    <xf numFmtId="0" fontId="6" fillId="4" borderId="16" xfId="3" applyFont="1" applyFill="1" applyBorder="1" applyAlignment="1">
      <alignment horizontal="center" vertical="center"/>
    </xf>
    <xf numFmtId="38" fontId="5" fillId="4" borderId="17" xfId="1" applyNumberFormat="1" applyFont="1" applyFill="1" applyBorder="1" applyAlignment="1">
      <alignment vertical="center"/>
    </xf>
    <xf numFmtId="38" fontId="5" fillId="4" borderId="18" xfId="1" applyNumberFormat="1" applyFont="1" applyFill="1" applyBorder="1" applyAlignment="1">
      <alignment vertical="center"/>
    </xf>
    <xf numFmtId="38" fontId="4" fillId="4" borderId="16" xfId="3" applyNumberFormat="1" applyFont="1" applyFill="1" applyBorder="1" applyAlignment="1">
      <alignment vertical="center"/>
    </xf>
    <xf numFmtId="38" fontId="5" fillId="4" borderId="17" xfId="3" applyNumberFormat="1" applyFont="1" applyFill="1" applyBorder="1" applyAlignment="1">
      <alignment vertical="center"/>
    </xf>
    <xf numFmtId="38" fontId="4" fillId="4" borderId="17" xfId="3" applyNumberFormat="1" applyFont="1" applyFill="1" applyBorder="1" applyAlignment="1">
      <alignment vertical="center"/>
    </xf>
    <xf numFmtId="14" fontId="6" fillId="3" borderId="6" xfId="3" applyNumberFormat="1" applyFont="1" applyFill="1" applyBorder="1" applyAlignment="1">
      <alignment horizontal="center" vertical="center"/>
    </xf>
    <xf numFmtId="0" fontId="8" fillId="3" borderId="7" xfId="3" applyFont="1" applyFill="1" applyBorder="1" applyAlignment="1">
      <alignment horizontal="center" vertical="center"/>
    </xf>
    <xf numFmtId="0" fontId="5" fillId="0" borderId="0" xfId="3" applyFont="1"/>
    <xf numFmtId="0" fontId="5" fillId="0" borderId="0" xfId="3" applyFont="1" applyAlignment="1">
      <alignment horizontal="right" vertical="center"/>
    </xf>
    <xf numFmtId="3" fontId="5" fillId="0" borderId="0" xfId="1" applyFont="1" applyAlignment="1">
      <alignment vertical="center"/>
    </xf>
    <xf numFmtId="38" fontId="5" fillId="0" borderId="0" xfId="3" applyNumberFormat="1" applyFont="1" applyFill="1" applyAlignment="1">
      <alignment vertical="center"/>
    </xf>
    <xf numFmtId="38" fontId="4" fillId="3" borderId="7" xfId="3" applyNumberFormat="1" applyFont="1" applyFill="1" applyBorder="1" applyAlignment="1">
      <alignment vertical="center"/>
    </xf>
    <xf numFmtId="14" fontId="6" fillId="3" borderId="19" xfId="3" applyNumberFormat="1" applyFont="1" applyFill="1" applyBorder="1" applyAlignment="1">
      <alignment horizontal="center" vertical="center"/>
    </xf>
    <xf numFmtId="38" fontId="5" fillId="0" borderId="20" xfId="1" applyNumberFormat="1" applyFont="1" applyBorder="1" applyAlignment="1">
      <alignment vertical="center"/>
    </xf>
    <xf numFmtId="38" fontId="4" fillId="3" borderId="20" xfId="3" applyNumberFormat="1" applyFont="1" applyFill="1" applyBorder="1" applyAlignment="1">
      <alignment vertical="center"/>
    </xf>
    <xf numFmtId="38" fontId="4" fillId="3" borderId="21" xfId="1" applyNumberFormat="1" applyFont="1" applyFill="1" applyBorder="1" applyAlignment="1">
      <alignment vertical="center"/>
    </xf>
    <xf numFmtId="0" fontId="6" fillId="4" borderId="22" xfId="3" applyFont="1" applyFill="1" applyBorder="1" applyAlignment="1">
      <alignment horizontal="center" vertical="center"/>
    </xf>
    <xf numFmtId="0" fontId="5" fillId="0" borderId="0" xfId="4" applyFont="1"/>
    <xf numFmtId="0" fontId="5" fillId="0" borderId="0" xfId="4" applyFont="1" applyAlignment="1">
      <alignment vertical="center"/>
    </xf>
    <xf numFmtId="0" fontId="5" fillId="0" borderId="0" xfId="4" applyFont="1" applyAlignment="1">
      <alignment horizontal="right" vertical="center"/>
    </xf>
    <xf numFmtId="0" fontId="4" fillId="4" borderId="23" xfId="4" applyFont="1" applyFill="1" applyBorder="1" applyAlignment="1">
      <alignment horizontal="center" vertical="center"/>
    </xf>
    <xf numFmtId="0" fontId="4" fillId="4" borderId="24" xfId="4" applyFont="1" applyFill="1" applyBorder="1" applyAlignment="1">
      <alignment horizontal="center" vertical="center"/>
    </xf>
    <xf numFmtId="0" fontId="4" fillId="4" borderId="16" xfId="4" applyFont="1" applyFill="1" applyBorder="1" applyAlignment="1">
      <alignment horizontal="center" vertical="center"/>
    </xf>
    <xf numFmtId="0" fontId="4" fillId="4" borderId="17" xfId="4" applyFont="1" applyFill="1" applyBorder="1" applyAlignment="1">
      <alignment horizontal="center" vertical="center"/>
    </xf>
    <xf numFmtId="0" fontId="4" fillId="4" borderId="18" xfId="4" applyFont="1" applyFill="1" applyBorder="1" applyAlignment="1">
      <alignment horizontal="center" vertical="center"/>
    </xf>
    <xf numFmtId="0" fontId="4" fillId="4" borderId="25" xfId="4" applyFont="1" applyFill="1" applyBorder="1" applyAlignment="1">
      <alignment horizontal="center" vertical="center"/>
    </xf>
    <xf numFmtId="0" fontId="5" fillId="0" borderId="0" xfId="4" applyFont="1" applyAlignment="1">
      <alignment horizontal="center"/>
    </xf>
    <xf numFmtId="0" fontId="6" fillId="3" borderId="1" xfId="4" applyFont="1" applyFill="1" applyBorder="1" applyAlignment="1">
      <alignment horizontal="center" vertical="center"/>
    </xf>
    <xf numFmtId="0" fontId="6" fillId="3" borderId="2" xfId="4" applyFont="1" applyFill="1" applyBorder="1" applyAlignment="1">
      <alignment horizontal="center" vertical="center"/>
    </xf>
    <xf numFmtId="38" fontId="5" fillId="0" borderId="2" xfId="2" applyNumberFormat="1" applyFont="1" applyBorder="1" applyAlignment="1">
      <alignment vertical="center"/>
    </xf>
    <xf numFmtId="38" fontId="4" fillId="3" borderId="3" xfId="4" applyNumberFormat="1" applyFont="1" applyFill="1" applyBorder="1" applyAlignment="1">
      <alignment vertical="center"/>
    </xf>
    <xf numFmtId="38" fontId="5" fillId="0" borderId="4" xfId="2" applyNumberFormat="1" applyFont="1" applyBorder="1" applyAlignment="1">
      <alignment vertical="center"/>
    </xf>
    <xf numFmtId="38" fontId="4" fillId="3" borderId="5" xfId="2" applyNumberFormat="1" applyFont="1" applyFill="1" applyBorder="1" applyAlignment="1">
      <alignment vertical="center"/>
    </xf>
    <xf numFmtId="3" fontId="5" fillId="0" borderId="0" xfId="4" applyNumberFormat="1" applyFont="1" applyAlignment="1">
      <alignment vertical="center"/>
    </xf>
    <xf numFmtId="0" fontId="6" fillId="3" borderId="6" xfId="4" applyFont="1" applyFill="1" applyBorder="1" applyAlignment="1">
      <alignment horizontal="center" vertical="center"/>
    </xf>
    <xf numFmtId="0" fontId="6" fillId="3" borderId="7" xfId="4" applyFont="1" applyFill="1" applyBorder="1" applyAlignment="1">
      <alignment horizontal="center" vertical="center"/>
    </xf>
    <xf numFmtId="38" fontId="5" fillId="0" borderId="7" xfId="2" applyNumberFormat="1" applyFont="1" applyBorder="1" applyAlignment="1">
      <alignment vertical="center"/>
    </xf>
    <xf numFmtId="38" fontId="4" fillId="3" borderId="8" xfId="4" applyNumberFormat="1" applyFont="1" applyFill="1" applyBorder="1" applyAlignment="1">
      <alignment vertical="center"/>
    </xf>
    <xf numFmtId="38" fontId="5" fillId="0" borderId="9" xfId="2" applyNumberFormat="1" applyFont="1" applyBorder="1" applyAlignment="1">
      <alignment vertical="center"/>
    </xf>
    <xf numFmtId="38" fontId="4" fillId="3" borderId="10" xfId="2" applyNumberFormat="1" applyFont="1" applyFill="1" applyBorder="1" applyAlignment="1">
      <alignment vertical="center"/>
    </xf>
    <xf numFmtId="38" fontId="5" fillId="0" borderId="0" xfId="4" applyNumberFormat="1" applyFont="1" applyAlignment="1">
      <alignment vertical="center"/>
    </xf>
    <xf numFmtId="14" fontId="6" fillId="3" borderId="6" xfId="4" applyNumberFormat="1" applyFont="1" applyFill="1" applyBorder="1" applyAlignment="1">
      <alignment horizontal="center" vertical="center"/>
    </xf>
    <xf numFmtId="0" fontId="6" fillId="3" borderId="11" xfId="4" applyFont="1" applyFill="1" applyBorder="1" applyAlignment="1">
      <alignment horizontal="center" vertical="center"/>
    </xf>
    <xf numFmtId="0" fontId="6" fillId="3" borderId="12" xfId="4" applyFont="1" applyFill="1" applyBorder="1" applyAlignment="1">
      <alignment horizontal="center" vertical="center"/>
    </xf>
    <xf numFmtId="38" fontId="5" fillId="0" borderId="12" xfId="2" applyNumberFormat="1" applyFont="1" applyBorder="1" applyAlignment="1">
      <alignment vertical="center"/>
    </xf>
    <xf numFmtId="38" fontId="4" fillId="3" borderId="13" xfId="4" applyNumberFormat="1" applyFont="1" applyFill="1" applyBorder="1" applyAlignment="1">
      <alignment vertical="center"/>
    </xf>
    <xf numFmtId="38" fontId="5" fillId="0" borderId="14" xfId="2" applyNumberFormat="1" applyFont="1" applyBorder="1" applyAlignment="1">
      <alignment vertical="center"/>
    </xf>
    <xf numFmtId="38" fontId="4" fillId="3" borderId="15" xfId="2" applyNumberFormat="1" applyFont="1" applyFill="1" applyBorder="1" applyAlignment="1">
      <alignment vertical="center"/>
    </xf>
    <xf numFmtId="14" fontId="6" fillId="3" borderId="11" xfId="4" applyNumberFormat="1" applyFont="1" applyFill="1" applyBorder="1" applyAlignment="1">
      <alignment horizontal="center" vertical="center"/>
    </xf>
    <xf numFmtId="0" fontId="8" fillId="3" borderId="12" xfId="4" applyFont="1" applyFill="1" applyBorder="1" applyAlignment="1">
      <alignment horizontal="center" vertical="center"/>
    </xf>
    <xf numFmtId="38" fontId="4" fillId="3" borderId="12" xfId="4" applyNumberFormat="1" applyFont="1" applyFill="1" applyBorder="1" applyAlignment="1">
      <alignment vertical="center"/>
    </xf>
    <xf numFmtId="0" fontId="8" fillId="3" borderId="7" xfId="4" applyFont="1" applyFill="1" applyBorder="1" applyAlignment="1">
      <alignment horizontal="center" vertical="center"/>
    </xf>
    <xf numFmtId="38" fontId="4" fillId="3" borderId="7" xfId="4" applyNumberFormat="1" applyFont="1" applyFill="1" applyBorder="1" applyAlignment="1">
      <alignment vertical="center"/>
    </xf>
    <xf numFmtId="14" fontId="6" fillId="3" borderId="19" xfId="4" applyNumberFormat="1" applyFont="1" applyFill="1" applyBorder="1" applyAlignment="1">
      <alignment horizontal="center" vertical="center"/>
    </xf>
    <xf numFmtId="38" fontId="5" fillId="0" borderId="20" xfId="2" applyNumberFormat="1" applyFont="1" applyBorder="1" applyAlignment="1">
      <alignment vertical="center"/>
    </xf>
    <xf numFmtId="38" fontId="4" fillId="3" borderId="20" xfId="4" applyNumberFormat="1" applyFont="1" applyFill="1" applyBorder="1" applyAlignment="1">
      <alignment vertical="center"/>
    </xf>
    <xf numFmtId="38" fontId="4" fillId="3" borderId="21" xfId="2" applyNumberFormat="1" applyFont="1" applyFill="1" applyBorder="1" applyAlignment="1">
      <alignment vertical="center"/>
    </xf>
    <xf numFmtId="0" fontId="6" fillId="4" borderId="23" xfId="4" applyFont="1" applyFill="1" applyBorder="1" applyAlignment="1">
      <alignment horizontal="center" vertical="center"/>
    </xf>
    <xf numFmtId="0" fontId="6" fillId="4" borderId="24" xfId="4" applyFont="1" applyFill="1" applyBorder="1" applyAlignment="1">
      <alignment horizontal="center" vertical="center"/>
    </xf>
    <xf numFmtId="0" fontId="6" fillId="4" borderId="16" xfId="4" applyFont="1" applyFill="1" applyBorder="1" applyAlignment="1">
      <alignment horizontal="center" vertical="center"/>
    </xf>
    <xf numFmtId="38" fontId="5" fillId="4" borderId="17" xfId="2" applyNumberFormat="1" applyFont="1" applyFill="1" applyBorder="1" applyAlignment="1">
      <alignment vertical="center"/>
    </xf>
    <xf numFmtId="38" fontId="5" fillId="4" borderId="18" xfId="2" applyNumberFormat="1" applyFont="1" applyFill="1" applyBorder="1" applyAlignment="1">
      <alignment vertical="center"/>
    </xf>
    <xf numFmtId="38" fontId="4" fillId="4" borderId="16" xfId="4" applyNumberFormat="1" applyFont="1" applyFill="1" applyBorder="1" applyAlignment="1">
      <alignment vertical="center"/>
    </xf>
    <xf numFmtId="38" fontId="5" fillId="4" borderId="17" xfId="4" applyNumberFormat="1" applyFont="1" applyFill="1" applyBorder="1" applyAlignment="1">
      <alignment vertical="center"/>
    </xf>
    <xf numFmtId="38" fontId="4" fillId="4" borderId="17" xfId="4" applyNumberFormat="1" applyFont="1" applyFill="1" applyBorder="1" applyAlignment="1">
      <alignment vertical="center"/>
    </xf>
    <xf numFmtId="3" fontId="5" fillId="0" borderId="0" xfId="2" applyFont="1" applyAlignment="1">
      <alignment vertical="center"/>
    </xf>
    <xf numFmtId="0" fontId="6" fillId="4" borderId="22" xfId="4" applyFont="1" applyFill="1" applyBorder="1" applyAlignment="1">
      <alignment horizontal="center" vertical="center"/>
    </xf>
    <xf numFmtId="38" fontId="4" fillId="3" borderId="26" xfId="2" applyNumberFormat="1" applyFont="1" applyFill="1" applyBorder="1" applyAlignment="1">
      <alignment vertical="center"/>
    </xf>
    <xf numFmtId="38" fontId="4" fillId="3" borderId="27" xfId="2" applyNumberFormat="1" applyFont="1" applyFill="1" applyBorder="1" applyAlignment="1">
      <alignment vertical="center"/>
    </xf>
    <xf numFmtId="38" fontId="5" fillId="0" borderId="28" xfId="2" applyNumberFormat="1" applyFont="1" applyBorder="1" applyAlignment="1">
      <alignment vertical="center"/>
    </xf>
    <xf numFmtId="38" fontId="4" fillId="3" borderId="29" xfId="2" applyNumberFormat="1" applyFont="1" applyFill="1" applyBorder="1" applyAlignment="1">
      <alignment vertical="center"/>
    </xf>
    <xf numFmtId="38" fontId="5" fillId="0" borderId="30" xfId="2" applyNumberFormat="1" applyFont="1" applyBorder="1" applyAlignment="1">
      <alignment vertical="center"/>
    </xf>
    <xf numFmtId="38" fontId="4" fillId="3" borderId="31" xfId="4" applyNumberFormat="1" applyFont="1" applyFill="1" applyBorder="1" applyAlignment="1">
      <alignment vertical="center"/>
    </xf>
    <xf numFmtId="38" fontId="5" fillId="0" borderId="32" xfId="2" applyNumberFormat="1" applyFont="1" applyBorder="1" applyAlignment="1">
      <alignment vertical="center"/>
    </xf>
    <xf numFmtId="38" fontId="4" fillId="3" borderId="33" xfId="2" applyNumberFormat="1" applyFont="1" applyFill="1" applyBorder="1" applyAlignment="1">
      <alignment vertical="center"/>
    </xf>
    <xf numFmtId="14" fontId="6" fillId="3" borderId="34" xfId="4" applyNumberFormat="1" applyFont="1" applyFill="1" applyBorder="1" applyAlignment="1">
      <alignment horizontal="center" vertical="center"/>
    </xf>
    <xf numFmtId="0" fontId="8" fillId="3" borderId="35" xfId="4" applyFont="1" applyFill="1" applyBorder="1" applyAlignment="1">
      <alignment horizontal="center" vertical="center"/>
    </xf>
    <xf numFmtId="0" fontId="6" fillId="3" borderId="20" xfId="4" applyFont="1" applyFill="1" applyBorder="1" applyAlignment="1">
      <alignment horizontal="center" vertical="center"/>
    </xf>
    <xf numFmtId="38" fontId="5" fillId="4" borderId="25" xfId="2" applyNumberFormat="1" applyFont="1" applyFill="1" applyBorder="1" applyAlignment="1">
      <alignment vertical="center"/>
    </xf>
    <xf numFmtId="38" fontId="5" fillId="0" borderId="31" xfId="2" applyNumberFormat="1" applyFont="1" applyBorder="1" applyAlignment="1">
      <alignment vertical="center"/>
    </xf>
    <xf numFmtId="38" fontId="5" fillId="0" borderId="8" xfId="2" applyNumberFormat="1" applyFont="1" applyBorder="1" applyAlignment="1">
      <alignment vertical="center"/>
    </xf>
    <xf numFmtId="38" fontId="5" fillId="0" borderId="13" xfId="2" applyNumberFormat="1" applyFont="1" applyBorder="1" applyAlignment="1">
      <alignment vertical="center"/>
    </xf>
    <xf numFmtId="38" fontId="5" fillId="0" borderId="36" xfId="2" applyNumberFormat="1" applyFont="1" applyBorder="1" applyAlignment="1">
      <alignment vertical="center"/>
    </xf>
    <xf numFmtId="0" fontId="4" fillId="4" borderId="18" xfId="4" applyFont="1" applyFill="1" applyBorder="1" applyAlignment="1">
      <alignment horizontal="center" vertical="center" wrapText="1"/>
    </xf>
    <xf numFmtId="0" fontId="4" fillId="4" borderId="17" xfId="4" applyFont="1" applyFill="1" applyBorder="1" applyAlignment="1">
      <alignment horizontal="center" vertical="center" wrapText="1"/>
    </xf>
    <xf numFmtId="0" fontId="4" fillId="4" borderId="25" xfId="4" applyFont="1" applyFill="1" applyBorder="1" applyAlignment="1">
      <alignment horizontal="center" vertical="center" wrapText="1"/>
    </xf>
    <xf numFmtId="0" fontId="6" fillId="4" borderId="23" xfId="3" applyFont="1" applyFill="1" applyBorder="1" applyAlignment="1">
      <alignment horizontal="center" vertical="center"/>
    </xf>
    <xf numFmtId="0" fontId="8" fillId="4" borderId="24" xfId="3" applyFont="1" applyFill="1" applyBorder="1" applyAlignment="1">
      <alignment horizontal="center" vertical="center"/>
    </xf>
    <xf numFmtId="0" fontId="8" fillId="4" borderId="24" xfId="4" applyFont="1" applyFill="1" applyBorder="1" applyAlignment="1">
      <alignment horizontal="center" vertical="center"/>
    </xf>
    <xf numFmtId="0" fontId="4" fillId="4" borderId="23" xfId="3" applyFont="1" applyFill="1" applyBorder="1" applyAlignment="1">
      <alignment horizontal="center" vertical="center"/>
    </xf>
    <xf numFmtId="0" fontId="4" fillId="4" borderId="24" xfId="3" applyFont="1" applyFill="1" applyBorder="1" applyAlignment="1">
      <alignment horizontal="center" vertical="center"/>
    </xf>
    <xf numFmtId="0" fontId="4" fillId="4" borderId="22" xfId="3" applyFont="1" applyFill="1" applyBorder="1" applyAlignment="1">
      <alignment horizontal="center" vertical="center"/>
    </xf>
    <xf numFmtId="0" fontId="4" fillId="4" borderId="16" xfId="3" applyFont="1" applyFill="1" applyBorder="1" applyAlignment="1">
      <alignment horizontal="center" vertical="center"/>
    </xf>
    <xf numFmtId="0" fontId="4" fillId="4" borderId="17" xfId="3" applyFont="1" applyFill="1" applyBorder="1" applyAlignment="1">
      <alignment horizontal="center" vertical="center"/>
    </xf>
    <xf numFmtId="0" fontId="4" fillId="4" borderId="18" xfId="3" applyFont="1" applyFill="1" applyBorder="1" applyAlignment="1">
      <alignment horizontal="center" vertical="center"/>
    </xf>
    <xf numFmtId="0" fontId="4" fillId="4" borderId="18" xfId="3" applyFont="1" applyFill="1" applyBorder="1" applyAlignment="1">
      <alignment horizontal="center" vertical="center" wrapText="1"/>
    </xf>
    <xf numFmtId="0" fontId="4" fillId="4" borderId="17" xfId="3" applyFont="1" applyFill="1" applyBorder="1" applyAlignment="1">
      <alignment horizontal="center" vertical="center" wrapText="1"/>
    </xf>
    <xf numFmtId="0" fontId="4" fillId="4" borderId="25" xfId="3" applyFont="1" applyFill="1" applyBorder="1" applyAlignment="1">
      <alignment horizontal="center" vertical="center" wrapText="1"/>
    </xf>
    <xf numFmtId="38" fontId="9" fillId="0" borderId="0" xfId="0" applyNumberFormat="1" applyFont="1" applyAlignment="1">
      <alignment horizontal="right" vertical="center"/>
    </xf>
    <xf numFmtId="0" fontId="4" fillId="4" borderId="22" xfId="4" applyFont="1" applyFill="1" applyBorder="1" applyAlignment="1">
      <alignment horizontal="center" vertical="center"/>
    </xf>
    <xf numFmtId="0" fontId="4" fillId="4" borderId="25" xfId="3" applyFont="1" applyFill="1" applyBorder="1" applyAlignment="1">
      <alignment horizontal="center" vertical="center"/>
    </xf>
    <xf numFmtId="0" fontId="6" fillId="3" borderId="20" xfId="3" applyFont="1" applyFill="1" applyBorder="1" applyAlignment="1">
      <alignment horizontal="center" vertical="center"/>
    </xf>
    <xf numFmtId="38" fontId="9" fillId="0" borderId="0" xfId="0" applyNumberFormat="1" applyFont="1" applyFill="1" applyBorder="1" applyAlignment="1">
      <alignment horizontal="right" vertical="center"/>
    </xf>
    <xf numFmtId="0" fontId="8" fillId="3" borderId="20" xfId="4" applyFont="1" applyFill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10" fillId="2" borderId="0" xfId="3" applyFont="1" applyFill="1" applyAlignment="1">
      <alignment horizontal="centerContinuous" vertical="center"/>
    </xf>
    <xf numFmtId="0" fontId="11" fillId="0" borderId="0" xfId="3" applyFont="1" applyAlignment="1">
      <alignment horizontal="centerContinuous"/>
    </xf>
    <xf numFmtId="0" fontId="11" fillId="0" borderId="0" xfId="3" applyFont="1"/>
    <xf numFmtId="0" fontId="10" fillId="2" borderId="0" xfId="4" applyFont="1" applyFill="1" applyAlignment="1">
      <alignment horizontal="centerContinuous" vertical="center"/>
    </xf>
    <xf numFmtId="0" fontId="11" fillId="0" borderId="0" xfId="4" applyFont="1" applyAlignment="1">
      <alignment horizontal="centerContinuous"/>
    </xf>
    <xf numFmtId="0" fontId="11" fillId="0" borderId="0" xfId="4" applyFont="1"/>
  </cellXfs>
  <cellStyles count="6">
    <cellStyle name="Normal" xfId="0" builtinId="0"/>
    <cellStyle name="쉼표 [0] 2" xfId="1" xr:uid="{5EBB7B2F-4666-49B1-AE67-CE50865DF78E}"/>
    <cellStyle name="쉼표 [0] 2 2" xfId="2" xr:uid="{45904CDA-F71B-4B3A-9AB8-AB1B825D958F}"/>
    <cellStyle name="표준 2" xfId="3" xr:uid="{4FD029CF-DE72-45ED-BB0D-AFB7B455FC38}"/>
    <cellStyle name="표준 2 2" xfId="4" xr:uid="{DC4666F6-1E9D-4988-A3F8-E8593AB00252}"/>
    <cellStyle name="표준 3" xfId="5" xr:uid="{E7E87BCD-9092-444E-B0A0-A1F4D89367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A920D-FE8B-4CA2-B40D-CAB25C79C4C2}">
  <sheetPr codeName="Sheet1"/>
  <dimension ref="B1:X36"/>
  <sheetViews>
    <sheetView showGridLines="0" tabSelected="1" zoomScale="80" zoomScaleNormal="80" workbookViewId="0"/>
  </sheetViews>
  <sheetFormatPr defaultColWidth="9.08984375" defaultRowHeight="13.45" x14ac:dyDescent="0.3"/>
  <cols>
    <col min="1" max="1" width="2" style="32" customWidth="1"/>
    <col min="2" max="2" width="16.6328125" style="32" bestFit="1" customWidth="1"/>
    <col min="3" max="4" width="20" style="32" bestFit="1" customWidth="1"/>
    <col min="5" max="5" width="14.6328125" style="32" bestFit="1" customWidth="1"/>
    <col min="6" max="7" width="13.6328125" style="32" customWidth="1"/>
    <col min="8" max="8" width="23" style="32" customWidth="1"/>
    <col min="9" max="10" width="13.54296875" style="32" customWidth="1"/>
    <col min="11" max="11" width="12.81640625" style="32" customWidth="1"/>
    <col min="12" max="12" width="14.81640625" style="32" customWidth="1"/>
    <col min="13" max="13" width="10.08984375" style="32" customWidth="1"/>
    <col min="14" max="14" width="12.6328125" style="32" customWidth="1"/>
    <col min="15" max="24" width="21.7265625" style="32" customWidth="1"/>
    <col min="25" max="16384" width="9.08984375" style="32"/>
  </cols>
  <sheetData>
    <row r="1" spans="2:24" ht="9.8000000000000007" customHeight="1" x14ac:dyDescent="0.3"/>
    <row r="2" spans="2:24" s="132" customFormat="1" ht="26.35" customHeight="1" x14ac:dyDescent="0.4">
      <c r="B2" s="130" t="s">
        <v>112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</row>
    <row r="3" spans="2:24" ht="20.3" customHeight="1" thickBot="1" x14ac:dyDescent="0.35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33" t="s">
        <v>83</v>
      </c>
    </row>
    <row r="4" spans="2:24" s="1" customFormat="1" ht="40.85" thickBot="1" x14ac:dyDescent="0.35">
      <c r="B4" s="114" t="s">
        <v>59</v>
      </c>
      <c r="C4" s="115" t="s">
        <v>60</v>
      </c>
      <c r="D4" s="116" t="s">
        <v>61</v>
      </c>
      <c r="E4" s="117" t="s">
        <v>62</v>
      </c>
      <c r="F4" s="118" t="s">
        <v>63</v>
      </c>
      <c r="G4" s="119" t="s">
        <v>64</v>
      </c>
      <c r="H4" s="120" t="s">
        <v>65</v>
      </c>
      <c r="I4" s="119" t="s">
        <v>66</v>
      </c>
      <c r="J4" s="120" t="s">
        <v>67</v>
      </c>
      <c r="K4" s="119" t="s">
        <v>68</v>
      </c>
      <c r="L4" s="120" t="s">
        <v>69</v>
      </c>
      <c r="M4" s="115" t="s">
        <v>70</v>
      </c>
      <c r="N4" s="117" t="s">
        <v>71</v>
      </c>
      <c r="O4" s="121" t="s">
        <v>72</v>
      </c>
      <c r="P4" s="122" t="s">
        <v>73</v>
      </c>
      <c r="Q4" s="122" t="s">
        <v>74</v>
      </c>
      <c r="R4" s="122" t="s">
        <v>75</v>
      </c>
      <c r="S4" s="122" t="s">
        <v>76</v>
      </c>
      <c r="T4" s="125" t="s">
        <v>77</v>
      </c>
      <c r="U4" s="122" t="s">
        <v>79</v>
      </c>
      <c r="V4" s="122" t="s">
        <v>80</v>
      </c>
      <c r="W4" s="119" t="s">
        <v>81</v>
      </c>
      <c r="X4" s="117" t="s">
        <v>82</v>
      </c>
    </row>
    <row r="5" spans="2:24" ht="23.1" customHeight="1" x14ac:dyDescent="0.3">
      <c r="B5" s="2" t="s">
        <v>1</v>
      </c>
      <c r="C5" s="3" t="s">
        <v>0</v>
      </c>
      <c r="D5" s="3" t="str">
        <f>C5</f>
        <v>Shin Jonghoon Bryan</v>
      </c>
      <c r="E5" s="3" t="s">
        <v>85</v>
      </c>
      <c r="F5" s="4">
        <v>29791667</v>
      </c>
      <c r="G5" s="4">
        <v>2000000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5">
        <f t="shared" ref="N5:N32" si="0">SUM(F5:M5)</f>
        <v>31791667</v>
      </c>
      <c r="O5" s="4">
        <v>277650</v>
      </c>
      <c r="P5" s="4">
        <v>1152990</v>
      </c>
      <c r="Q5" s="4">
        <v>39200</v>
      </c>
      <c r="R5" s="4">
        <v>0</v>
      </c>
      <c r="S5" s="4">
        <v>149310</v>
      </c>
      <c r="T5" s="4"/>
      <c r="U5" s="4">
        <v>9282100</v>
      </c>
      <c r="V5" s="4">
        <v>928210</v>
      </c>
      <c r="W5" s="6">
        <v>11829460</v>
      </c>
      <c r="X5" s="7">
        <f t="shared" ref="X5:X32" si="1">N5-W5</f>
        <v>19962207</v>
      </c>
    </row>
    <row r="6" spans="2:24" ht="23.1" customHeight="1" x14ac:dyDescent="0.3">
      <c r="B6" s="9" t="s">
        <v>15</v>
      </c>
      <c r="C6" s="10" t="s">
        <v>114</v>
      </c>
      <c r="D6" s="10" t="s">
        <v>22</v>
      </c>
      <c r="E6" s="10" t="s">
        <v>86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2">
        <f t="shared" si="0"/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/>
      <c r="U6" s="11">
        <v>0</v>
      </c>
      <c r="V6" s="11">
        <v>0</v>
      </c>
      <c r="W6" s="13">
        <v>0</v>
      </c>
      <c r="X6" s="14">
        <f t="shared" si="1"/>
        <v>0</v>
      </c>
    </row>
    <row r="7" spans="2:24" ht="23.1" customHeight="1" x14ac:dyDescent="0.3">
      <c r="B7" s="9" t="s">
        <v>2</v>
      </c>
      <c r="C7" s="10" t="s">
        <v>115</v>
      </c>
      <c r="D7" s="10" t="s">
        <v>23</v>
      </c>
      <c r="E7" s="10" t="s">
        <v>86</v>
      </c>
      <c r="F7" s="11">
        <v>6250000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2">
        <f t="shared" si="0"/>
        <v>6250000</v>
      </c>
      <c r="O7" s="11">
        <v>277650</v>
      </c>
      <c r="P7" s="11">
        <v>222190</v>
      </c>
      <c r="Q7" s="11">
        <v>11210</v>
      </c>
      <c r="R7" s="11">
        <v>56250</v>
      </c>
      <c r="S7" s="11">
        <v>28770</v>
      </c>
      <c r="T7" s="11"/>
      <c r="U7" s="11">
        <v>427400</v>
      </c>
      <c r="V7" s="11">
        <v>42740</v>
      </c>
      <c r="W7" s="13">
        <v>1066210</v>
      </c>
      <c r="X7" s="14">
        <f t="shared" si="1"/>
        <v>5183790</v>
      </c>
    </row>
    <row r="8" spans="2:24" ht="23.1" customHeight="1" x14ac:dyDescent="0.3">
      <c r="B8" s="9" t="s">
        <v>3</v>
      </c>
      <c r="C8" s="10" t="s">
        <v>116</v>
      </c>
      <c r="D8" s="10" t="s">
        <v>24</v>
      </c>
      <c r="E8" s="10" t="s">
        <v>84</v>
      </c>
      <c r="F8" s="11">
        <v>2908333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2">
        <f t="shared" si="0"/>
        <v>2908333</v>
      </c>
      <c r="O8" s="11">
        <v>131170</v>
      </c>
      <c r="P8" s="11">
        <v>104770</v>
      </c>
      <c r="Q8" s="11">
        <v>21340</v>
      </c>
      <c r="R8" s="11">
        <v>26170</v>
      </c>
      <c r="S8" s="11">
        <v>13560</v>
      </c>
      <c r="T8" s="11"/>
      <c r="U8" s="11">
        <v>65360</v>
      </c>
      <c r="V8" s="11">
        <v>6530</v>
      </c>
      <c r="W8" s="13">
        <v>368900</v>
      </c>
      <c r="X8" s="14">
        <f t="shared" si="1"/>
        <v>2539433</v>
      </c>
    </row>
    <row r="9" spans="2:24" ht="23.1" customHeight="1" x14ac:dyDescent="0.3">
      <c r="B9" s="9" t="s">
        <v>4</v>
      </c>
      <c r="C9" s="10" t="s">
        <v>117</v>
      </c>
      <c r="D9" s="10" t="s">
        <v>25</v>
      </c>
      <c r="E9" s="10" t="s">
        <v>84</v>
      </c>
      <c r="F9" s="11">
        <v>5466667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2">
        <f t="shared" si="0"/>
        <v>5466667</v>
      </c>
      <c r="O9" s="11">
        <v>244980</v>
      </c>
      <c r="P9" s="11">
        <v>195680</v>
      </c>
      <c r="Q9" s="11">
        <v>37550</v>
      </c>
      <c r="R9" s="11">
        <v>49200</v>
      </c>
      <c r="S9" s="11">
        <v>25340</v>
      </c>
      <c r="T9" s="11"/>
      <c r="U9" s="11">
        <v>769630</v>
      </c>
      <c r="V9" s="11">
        <v>76960</v>
      </c>
      <c r="W9" s="13">
        <v>1399340</v>
      </c>
      <c r="X9" s="14">
        <f t="shared" si="1"/>
        <v>4067327</v>
      </c>
    </row>
    <row r="10" spans="2:24" ht="23.1" customHeight="1" x14ac:dyDescent="0.3">
      <c r="B10" s="9" t="s">
        <v>5</v>
      </c>
      <c r="C10" s="10" t="s">
        <v>118</v>
      </c>
      <c r="D10" s="10" t="s">
        <v>26</v>
      </c>
      <c r="E10" s="10" t="s">
        <v>86</v>
      </c>
      <c r="F10" s="11">
        <v>3441667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2">
        <f t="shared" si="0"/>
        <v>3441667</v>
      </c>
      <c r="O10" s="11">
        <v>123520</v>
      </c>
      <c r="P10" s="11">
        <v>112250</v>
      </c>
      <c r="Q10" s="11">
        <v>0</v>
      </c>
      <c r="R10" s="11">
        <v>30970</v>
      </c>
      <c r="S10" s="11">
        <v>14530</v>
      </c>
      <c r="T10" s="11"/>
      <c r="U10" s="11">
        <v>119880</v>
      </c>
      <c r="V10" s="11">
        <v>11980</v>
      </c>
      <c r="W10" s="13">
        <v>413130</v>
      </c>
      <c r="X10" s="14">
        <f t="shared" si="1"/>
        <v>3028537</v>
      </c>
    </row>
    <row r="11" spans="2:24" ht="23.1" customHeight="1" x14ac:dyDescent="0.3">
      <c r="B11" s="9" t="s">
        <v>6</v>
      </c>
      <c r="C11" s="10" t="s">
        <v>119</v>
      </c>
      <c r="D11" s="10" t="s">
        <v>27</v>
      </c>
      <c r="E11" s="10" t="s">
        <v>86</v>
      </c>
      <c r="F11" s="11">
        <v>5041667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2">
        <f t="shared" si="0"/>
        <v>5041667</v>
      </c>
      <c r="O11" s="11">
        <v>242410</v>
      </c>
      <c r="P11" s="11">
        <v>193630</v>
      </c>
      <c r="Q11" s="11">
        <v>41540</v>
      </c>
      <c r="R11" s="11">
        <v>45370</v>
      </c>
      <c r="S11" s="11">
        <v>25070</v>
      </c>
      <c r="T11" s="11"/>
      <c r="U11" s="11">
        <v>341080</v>
      </c>
      <c r="V11" s="11">
        <v>34100</v>
      </c>
      <c r="W11" s="13">
        <v>923200</v>
      </c>
      <c r="X11" s="14">
        <f t="shared" si="1"/>
        <v>4118467</v>
      </c>
    </row>
    <row r="12" spans="2:24" ht="23.1" customHeight="1" x14ac:dyDescent="0.3">
      <c r="B12" s="9" t="s">
        <v>7</v>
      </c>
      <c r="C12" s="10" t="s">
        <v>120</v>
      </c>
      <c r="D12" s="10" t="s">
        <v>28</v>
      </c>
      <c r="E12" s="10" t="s">
        <v>84</v>
      </c>
      <c r="F12" s="11">
        <v>3625000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2">
        <f t="shared" si="0"/>
        <v>3625000</v>
      </c>
      <c r="O12" s="11">
        <v>170190</v>
      </c>
      <c r="P12" s="11">
        <v>135960</v>
      </c>
      <c r="Q12" s="11">
        <v>42220</v>
      </c>
      <c r="R12" s="11">
        <v>32620</v>
      </c>
      <c r="S12" s="11">
        <v>17600</v>
      </c>
      <c r="T12" s="11"/>
      <c r="U12" s="11">
        <v>181890</v>
      </c>
      <c r="V12" s="11">
        <v>18180</v>
      </c>
      <c r="W12" s="13">
        <v>598660</v>
      </c>
      <c r="X12" s="14">
        <f t="shared" si="1"/>
        <v>3026340</v>
      </c>
    </row>
    <row r="13" spans="2:24" ht="23.1" customHeight="1" x14ac:dyDescent="0.3">
      <c r="B13" s="9" t="s">
        <v>8</v>
      </c>
      <c r="C13" s="10" t="s">
        <v>121</v>
      </c>
      <c r="D13" s="10" t="s">
        <v>29</v>
      </c>
      <c r="E13" s="10" t="s">
        <v>85</v>
      </c>
      <c r="F13" s="11">
        <v>12500000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2">
        <f t="shared" si="0"/>
        <v>12500000</v>
      </c>
      <c r="O13" s="11">
        <v>277650</v>
      </c>
      <c r="P13" s="11">
        <v>513070</v>
      </c>
      <c r="Q13" s="11">
        <v>46050</v>
      </c>
      <c r="R13" s="11">
        <v>112500</v>
      </c>
      <c r="S13" s="11">
        <v>66440</v>
      </c>
      <c r="T13" s="11"/>
      <c r="U13" s="11">
        <v>2389900</v>
      </c>
      <c r="V13" s="11">
        <v>238990</v>
      </c>
      <c r="W13" s="13">
        <v>3644600</v>
      </c>
      <c r="X13" s="14">
        <f t="shared" si="1"/>
        <v>8855400</v>
      </c>
    </row>
    <row r="14" spans="2:24" ht="23.1" customHeight="1" x14ac:dyDescent="0.3">
      <c r="B14" s="9" t="s">
        <v>9</v>
      </c>
      <c r="C14" s="10" t="s">
        <v>122</v>
      </c>
      <c r="D14" s="10" t="s">
        <v>30</v>
      </c>
      <c r="E14" s="10" t="s">
        <v>87</v>
      </c>
      <c r="F14" s="11">
        <v>3850000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2">
        <f t="shared" si="0"/>
        <v>3850000</v>
      </c>
      <c r="O14" s="11">
        <v>180940</v>
      </c>
      <c r="P14" s="11">
        <v>144550</v>
      </c>
      <c r="Q14" s="11">
        <v>13230</v>
      </c>
      <c r="R14" s="11">
        <v>34650</v>
      </c>
      <c r="S14" s="11">
        <v>18720</v>
      </c>
      <c r="T14" s="11"/>
      <c r="U14" s="11">
        <v>174600</v>
      </c>
      <c r="V14" s="11">
        <v>17460</v>
      </c>
      <c r="W14" s="13">
        <v>584150</v>
      </c>
      <c r="X14" s="14">
        <f t="shared" si="1"/>
        <v>3265850</v>
      </c>
    </row>
    <row r="15" spans="2:24" ht="23.1" customHeight="1" x14ac:dyDescent="0.3">
      <c r="B15" s="9" t="s">
        <v>10</v>
      </c>
      <c r="C15" s="10" t="s">
        <v>123</v>
      </c>
      <c r="D15" s="10" t="s">
        <v>31</v>
      </c>
      <c r="E15" s="10" t="s">
        <v>86</v>
      </c>
      <c r="F15" s="11">
        <v>10000000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2">
        <f t="shared" si="0"/>
        <v>10000000</v>
      </c>
      <c r="O15" s="11">
        <v>277650</v>
      </c>
      <c r="P15" s="11">
        <v>390540</v>
      </c>
      <c r="Q15" s="11">
        <v>4190</v>
      </c>
      <c r="R15" s="11">
        <v>90000</v>
      </c>
      <c r="S15" s="11">
        <v>50570</v>
      </c>
      <c r="T15" s="11"/>
      <c r="U15" s="11">
        <v>1507400</v>
      </c>
      <c r="V15" s="11">
        <v>150740</v>
      </c>
      <c r="W15" s="13">
        <v>2471090</v>
      </c>
      <c r="X15" s="14">
        <f t="shared" si="1"/>
        <v>7528910</v>
      </c>
    </row>
    <row r="16" spans="2:24" ht="23.1" customHeight="1" x14ac:dyDescent="0.3">
      <c r="B16" s="30">
        <v>41699</v>
      </c>
      <c r="C16" s="10" t="s">
        <v>124</v>
      </c>
      <c r="D16" s="10" t="s">
        <v>32</v>
      </c>
      <c r="E16" s="10" t="s">
        <v>86</v>
      </c>
      <c r="F16" s="11">
        <v>5716667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2">
        <f t="shared" si="0"/>
        <v>5716667</v>
      </c>
      <c r="O16" s="11">
        <v>271530</v>
      </c>
      <c r="P16" s="11">
        <v>216910</v>
      </c>
      <c r="Q16" s="11">
        <v>27260</v>
      </c>
      <c r="R16" s="11">
        <v>51450</v>
      </c>
      <c r="S16" s="11">
        <v>28090</v>
      </c>
      <c r="T16" s="11"/>
      <c r="U16" s="11">
        <v>433640</v>
      </c>
      <c r="V16" s="11">
        <v>43360</v>
      </c>
      <c r="W16" s="13">
        <v>1072240</v>
      </c>
      <c r="X16" s="14">
        <f t="shared" si="1"/>
        <v>4644427</v>
      </c>
    </row>
    <row r="17" spans="2:24" ht="23.1" customHeight="1" x14ac:dyDescent="0.3">
      <c r="B17" s="9" t="s">
        <v>11</v>
      </c>
      <c r="C17" s="10" t="s">
        <v>125</v>
      </c>
      <c r="D17" s="10" t="s">
        <v>33</v>
      </c>
      <c r="E17" s="10" t="s">
        <v>87</v>
      </c>
      <c r="F17" s="11">
        <v>3591667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2">
        <f t="shared" si="0"/>
        <v>3591667</v>
      </c>
      <c r="O17" s="11">
        <v>167980</v>
      </c>
      <c r="P17" s="11">
        <v>134200</v>
      </c>
      <c r="Q17" s="11">
        <v>14600</v>
      </c>
      <c r="R17" s="11">
        <v>32320</v>
      </c>
      <c r="S17" s="11">
        <v>17370</v>
      </c>
      <c r="T17" s="11"/>
      <c r="U17" s="11">
        <v>137000</v>
      </c>
      <c r="V17" s="11">
        <v>13700</v>
      </c>
      <c r="W17" s="13">
        <v>517170</v>
      </c>
      <c r="X17" s="14">
        <f t="shared" si="1"/>
        <v>3074497</v>
      </c>
    </row>
    <row r="18" spans="2:24" ht="23.1" customHeight="1" x14ac:dyDescent="0.3">
      <c r="B18" s="9" t="s">
        <v>12</v>
      </c>
      <c r="C18" s="10" t="s">
        <v>126</v>
      </c>
      <c r="D18" s="10" t="s">
        <v>34</v>
      </c>
      <c r="E18" s="10" t="s">
        <v>87</v>
      </c>
      <c r="F18" s="11">
        <v>4800000</v>
      </c>
      <c r="G18" s="11">
        <v>0</v>
      </c>
      <c r="H18" s="11">
        <v>50000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2">
        <f t="shared" si="0"/>
        <v>4850000</v>
      </c>
      <c r="O18" s="11">
        <v>215050</v>
      </c>
      <c r="P18" s="11">
        <v>171800</v>
      </c>
      <c r="Q18" s="11">
        <v>16560</v>
      </c>
      <c r="R18" s="11">
        <v>43650</v>
      </c>
      <c r="S18" s="11">
        <v>22240</v>
      </c>
      <c r="T18" s="11"/>
      <c r="U18" s="11">
        <v>313030</v>
      </c>
      <c r="V18" s="11">
        <v>31300</v>
      </c>
      <c r="W18" s="13">
        <v>813630</v>
      </c>
      <c r="X18" s="14">
        <f t="shared" si="1"/>
        <v>4036370</v>
      </c>
    </row>
    <row r="19" spans="2:24" ht="23.1" customHeight="1" x14ac:dyDescent="0.3">
      <c r="B19" s="9" t="s">
        <v>13</v>
      </c>
      <c r="C19" s="10" t="s">
        <v>127</v>
      </c>
      <c r="D19" s="10" t="s">
        <v>35</v>
      </c>
      <c r="E19" s="10" t="s">
        <v>87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2">
        <f t="shared" si="0"/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/>
      <c r="U19" s="11">
        <v>0</v>
      </c>
      <c r="V19" s="11">
        <v>0</v>
      </c>
      <c r="W19" s="13">
        <v>0</v>
      </c>
      <c r="X19" s="14">
        <f t="shared" si="1"/>
        <v>0</v>
      </c>
    </row>
    <row r="20" spans="2:24" ht="23.1" customHeight="1" x14ac:dyDescent="0.3">
      <c r="B20" s="9" t="s">
        <v>14</v>
      </c>
      <c r="C20" s="10" t="s">
        <v>128</v>
      </c>
      <c r="D20" s="10" t="s">
        <v>36</v>
      </c>
      <c r="E20" s="10" t="s">
        <v>87</v>
      </c>
      <c r="F20" s="11">
        <v>3250000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2">
        <f t="shared" si="0"/>
        <v>3250000</v>
      </c>
      <c r="O20" s="11">
        <v>150930</v>
      </c>
      <c r="P20" s="11">
        <v>120570</v>
      </c>
      <c r="Q20" s="11">
        <v>10510</v>
      </c>
      <c r="R20" s="11">
        <v>29250</v>
      </c>
      <c r="S20" s="11">
        <v>15610</v>
      </c>
      <c r="T20" s="11"/>
      <c r="U20" s="11">
        <v>95430</v>
      </c>
      <c r="V20" s="11">
        <v>9540</v>
      </c>
      <c r="W20" s="13">
        <v>431840</v>
      </c>
      <c r="X20" s="14">
        <f t="shared" si="1"/>
        <v>2818160</v>
      </c>
    </row>
    <row r="21" spans="2:24" ht="23.1" customHeight="1" x14ac:dyDescent="0.3">
      <c r="B21" s="15" t="s">
        <v>16</v>
      </c>
      <c r="C21" s="16" t="s">
        <v>129</v>
      </c>
      <c r="D21" s="16" t="s">
        <v>37</v>
      </c>
      <c r="E21" s="16" t="s">
        <v>86</v>
      </c>
      <c r="F21" s="17">
        <v>3575000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8">
        <f t="shared" si="0"/>
        <v>3575000</v>
      </c>
      <c r="O21" s="11">
        <v>155340</v>
      </c>
      <c r="P21" s="11">
        <v>124090</v>
      </c>
      <c r="Q21" s="11">
        <v>23860</v>
      </c>
      <c r="R21" s="11">
        <v>32170</v>
      </c>
      <c r="S21" s="11">
        <v>16070</v>
      </c>
      <c r="T21" s="11"/>
      <c r="U21" s="11">
        <v>134550</v>
      </c>
      <c r="V21" s="11">
        <v>13450</v>
      </c>
      <c r="W21" s="19">
        <v>499530</v>
      </c>
      <c r="X21" s="20">
        <f t="shared" si="1"/>
        <v>3075470</v>
      </c>
    </row>
    <row r="22" spans="2:24" ht="23.1" customHeight="1" x14ac:dyDescent="0.3">
      <c r="B22" s="21">
        <v>44879</v>
      </c>
      <c r="C22" s="22" t="s">
        <v>130</v>
      </c>
      <c r="D22" s="22" t="s">
        <v>38</v>
      </c>
      <c r="E22" s="22" t="s">
        <v>86</v>
      </c>
      <c r="F22" s="17">
        <v>4791667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23">
        <f t="shared" si="0"/>
        <v>4791667</v>
      </c>
      <c r="O22" s="11">
        <v>193410</v>
      </c>
      <c r="P22" s="11">
        <v>154500</v>
      </c>
      <c r="Q22" s="11">
        <v>0</v>
      </c>
      <c r="R22" s="11">
        <v>43120</v>
      </c>
      <c r="S22" s="11">
        <v>20000</v>
      </c>
      <c r="T22" s="11"/>
      <c r="U22" s="11">
        <v>262840</v>
      </c>
      <c r="V22" s="11">
        <v>26280</v>
      </c>
      <c r="W22" s="19">
        <v>700150</v>
      </c>
      <c r="X22" s="20">
        <f t="shared" si="1"/>
        <v>4091517</v>
      </c>
    </row>
    <row r="23" spans="2:24" ht="23.1" customHeight="1" x14ac:dyDescent="0.3">
      <c r="B23" s="21">
        <v>44923</v>
      </c>
      <c r="C23" s="22" t="s">
        <v>131</v>
      </c>
      <c r="D23" s="22" t="s">
        <v>39</v>
      </c>
      <c r="E23" s="22" t="s">
        <v>86</v>
      </c>
      <c r="F23" s="17">
        <v>3333333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23">
        <f t="shared" si="0"/>
        <v>3333333</v>
      </c>
      <c r="O23" s="11">
        <v>141250</v>
      </c>
      <c r="P23" s="11">
        <v>112840</v>
      </c>
      <c r="Q23" s="11">
        <v>4780</v>
      </c>
      <c r="R23" s="11">
        <v>29990</v>
      </c>
      <c r="S23" s="11">
        <v>14610</v>
      </c>
      <c r="T23" s="11"/>
      <c r="U23" s="11">
        <v>105210</v>
      </c>
      <c r="V23" s="11">
        <v>10520</v>
      </c>
      <c r="W23" s="17">
        <v>419200</v>
      </c>
      <c r="X23" s="20">
        <f t="shared" si="1"/>
        <v>2914133</v>
      </c>
    </row>
    <row r="24" spans="2:24" ht="23.1" customHeight="1" x14ac:dyDescent="0.3">
      <c r="B24" s="21">
        <v>45034</v>
      </c>
      <c r="C24" s="22" t="s">
        <v>132</v>
      </c>
      <c r="D24" s="22" t="s">
        <v>40</v>
      </c>
      <c r="E24" s="22" t="s">
        <v>87</v>
      </c>
      <c r="F24" s="17">
        <v>2983333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23">
        <f t="shared" si="0"/>
        <v>2983333</v>
      </c>
      <c r="O24" s="17">
        <v>117130</v>
      </c>
      <c r="P24" s="17">
        <v>88170</v>
      </c>
      <c r="Q24" s="17">
        <v>0</v>
      </c>
      <c r="R24" s="17">
        <v>26840</v>
      </c>
      <c r="S24" s="17">
        <v>11410</v>
      </c>
      <c r="T24" s="17"/>
      <c r="U24" s="17">
        <v>72210</v>
      </c>
      <c r="V24" s="17">
        <v>7220</v>
      </c>
      <c r="W24" s="17">
        <v>322980</v>
      </c>
      <c r="X24" s="20">
        <f t="shared" si="1"/>
        <v>2660353</v>
      </c>
    </row>
    <row r="25" spans="2:24" ht="23.1" customHeight="1" x14ac:dyDescent="0.3">
      <c r="B25" s="21">
        <v>45212</v>
      </c>
      <c r="C25" s="22" t="s">
        <v>133</v>
      </c>
      <c r="D25" s="22" t="s">
        <v>41</v>
      </c>
      <c r="E25" s="22" t="s">
        <v>87</v>
      </c>
      <c r="F25" s="17">
        <v>2458333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23">
        <f t="shared" si="0"/>
        <v>2458333</v>
      </c>
      <c r="O25" s="17">
        <v>101020</v>
      </c>
      <c r="P25" s="17">
        <v>70750</v>
      </c>
      <c r="Q25" s="17">
        <v>0</v>
      </c>
      <c r="R25" s="17">
        <v>22120</v>
      </c>
      <c r="S25" s="17">
        <v>9160</v>
      </c>
      <c r="T25" s="17"/>
      <c r="U25" s="17">
        <v>33980</v>
      </c>
      <c r="V25" s="17">
        <v>3390</v>
      </c>
      <c r="W25" s="17">
        <v>240420</v>
      </c>
      <c r="X25" s="20">
        <f t="shared" si="1"/>
        <v>2217913</v>
      </c>
    </row>
    <row r="26" spans="2:24" ht="23.1" customHeight="1" x14ac:dyDescent="0.3">
      <c r="B26" s="30">
        <v>45366</v>
      </c>
      <c r="C26" s="31" t="s">
        <v>134</v>
      </c>
      <c r="D26" s="31" t="s">
        <v>42</v>
      </c>
      <c r="E26" s="31" t="s">
        <v>86</v>
      </c>
      <c r="F26" s="11">
        <v>2916667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23">
        <f t="shared" si="0"/>
        <v>2916667</v>
      </c>
      <c r="O26" s="11">
        <v>119970</v>
      </c>
      <c r="P26" s="11">
        <v>94530</v>
      </c>
      <c r="Q26" s="11">
        <v>0</v>
      </c>
      <c r="R26" s="11">
        <v>26250</v>
      </c>
      <c r="S26" s="11">
        <v>12240</v>
      </c>
      <c r="T26" s="11"/>
      <c r="U26" s="11">
        <v>44820</v>
      </c>
      <c r="V26" s="11">
        <v>4480</v>
      </c>
      <c r="W26" s="17">
        <v>302290</v>
      </c>
      <c r="X26" s="20">
        <f t="shared" si="1"/>
        <v>2614377</v>
      </c>
    </row>
    <row r="27" spans="2:24" ht="23.1" customHeight="1" x14ac:dyDescent="0.3">
      <c r="B27" s="21">
        <v>45366</v>
      </c>
      <c r="C27" s="22" t="s">
        <v>135</v>
      </c>
      <c r="D27" s="22" t="s">
        <v>43</v>
      </c>
      <c r="E27" s="22" t="s">
        <v>86</v>
      </c>
      <c r="F27" s="17">
        <v>2916667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23">
        <f t="shared" si="0"/>
        <v>2916667</v>
      </c>
      <c r="O27" s="17">
        <v>119970</v>
      </c>
      <c r="P27" s="17">
        <v>94530</v>
      </c>
      <c r="Q27" s="17">
        <v>0</v>
      </c>
      <c r="R27" s="17">
        <v>26250</v>
      </c>
      <c r="S27" s="17">
        <v>12240</v>
      </c>
      <c r="T27" s="17"/>
      <c r="U27" s="17">
        <v>44820</v>
      </c>
      <c r="V27" s="17">
        <v>4480</v>
      </c>
      <c r="W27" s="17">
        <v>302290</v>
      </c>
      <c r="X27" s="20">
        <f t="shared" si="1"/>
        <v>2614377</v>
      </c>
    </row>
    <row r="28" spans="2:24" ht="23.1" customHeight="1" x14ac:dyDescent="0.3">
      <c r="B28" s="30">
        <v>45554</v>
      </c>
      <c r="C28" s="10" t="s">
        <v>17</v>
      </c>
      <c r="D28" s="10" t="s">
        <v>44</v>
      </c>
      <c r="E28" s="10" t="s">
        <v>87</v>
      </c>
      <c r="F28" s="11">
        <v>2416667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36">
        <f t="shared" si="0"/>
        <v>2416667</v>
      </c>
      <c r="O28" s="11">
        <v>108720</v>
      </c>
      <c r="P28" s="11">
        <v>85670</v>
      </c>
      <c r="Q28" s="11">
        <v>0</v>
      </c>
      <c r="R28" s="11">
        <v>21750</v>
      </c>
      <c r="S28" s="11">
        <v>11090</v>
      </c>
      <c r="T28" s="11"/>
      <c r="U28" s="11">
        <v>32700</v>
      </c>
      <c r="V28" s="11">
        <v>3270</v>
      </c>
      <c r="W28" s="11">
        <v>263200</v>
      </c>
      <c r="X28" s="14">
        <f t="shared" si="1"/>
        <v>2153467</v>
      </c>
    </row>
    <row r="29" spans="2:24" ht="23.1" customHeight="1" x14ac:dyDescent="0.3">
      <c r="B29" s="30">
        <v>45593</v>
      </c>
      <c r="C29" s="10" t="s">
        <v>18</v>
      </c>
      <c r="D29" s="10" t="s">
        <v>45</v>
      </c>
      <c r="E29" s="10" t="s">
        <v>87</v>
      </c>
      <c r="F29" s="11">
        <v>2416667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36">
        <f t="shared" si="0"/>
        <v>2416667</v>
      </c>
      <c r="O29" s="11">
        <v>108720</v>
      </c>
      <c r="P29" s="11">
        <v>85670</v>
      </c>
      <c r="Q29" s="11">
        <v>0</v>
      </c>
      <c r="R29" s="11">
        <v>21750</v>
      </c>
      <c r="S29" s="11">
        <v>11090</v>
      </c>
      <c r="T29" s="11"/>
      <c r="U29" s="11">
        <v>32700</v>
      </c>
      <c r="V29" s="11">
        <v>3270</v>
      </c>
      <c r="W29" s="11">
        <v>263200</v>
      </c>
      <c r="X29" s="14">
        <f t="shared" si="1"/>
        <v>2153467</v>
      </c>
    </row>
    <row r="30" spans="2:24" ht="23.1" customHeight="1" x14ac:dyDescent="0.3">
      <c r="B30" s="30">
        <v>45627</v>
      </c>
      <c r="C30" s="10" t="s">
        <v>19</v>
      </c>
      <c r="D30" s="10" t="s">
        <v>46</v>
      </c>
      <c r="E30" s="10" t="s">
        <v>86</v>
      </c>
      <c r="F30" s="11">
        <v>3083333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36">
        <f t="shared" si="0"/>
        <v>3083333</v>
      </c>
      <c r="O30" s="11">
        <v>138730</v>
      </c>
      <c r="P30" s="11">
        <v>109300</v>
      </c>
      <c r="Q30" s="11">
        <v>0</v>
      </c>
      <c r="R30" s="11">
        <v>27740</v>
      </c>
      <c r="S30" s="11">
        <v>14150</v>
      </c>
      <c r="T30" s="11"/>
      <c r="U30" s="11">
        <v>81190</v>
      </c>
      <c r="V30" s="11">
        <v>8110</v>
      </c>
      <c r="W30" s="11">
        <v>379220</v>
      </c>
      <c r="X30" s="14">
        <f t="shared" si="1"/>
        <v>2704113</v>
      </c>
    </row>
    <row r="31" spans="2:24" ht="23.1" customHeight="1" x14ac:dyDescent="0.3">
      <c r="B31" s="30">
        <v>45656</v>
      </c>
      <c r="C31" s="10" t="s">
        <v>20</v>
      </c>
      <c r="D31" s="10" t="s">
        <v>47</v>
      </c>
      <c r="E31" s="10" t="s">
        <v>84</v>
      </c>
      <c r="F31" s="11">
        <v>3083333</v>
      </c>
      <c r="G31" s="11">
        <v>0</v>
      </c>
      <c r="H31" s="11">
        <v>0</v>
      </c>
      <c r="I31" s="11">
        <v>198924</v>
      </c>
      <c r="J31" s="11">
        <v>0</v>
      </c>
      <c r="K31" s="11">
        <v>0</v>
      </c>
      <c r="L31" s="11">
        <v>0</v>
      </c>
      <c r="M31" s="11">
        <v>0</v>
      </c>
      <c r="N31" s="36">
        <f t="shared" si="0"/>
        <v>3282257</v>
      </c>
      <c r="O31" s="11">
        <v>138750</v>
      </c>
      <c r="P31" s="11">
        <v>109300</v>
      </c>
      <c r="Q31" s="11">
        <v>0</v>
      </c>
      <c r="R31" s="11">
        <v>29540</v>
      </c>
      <c r="S31" s="11">
        <v>14150</v>
      </c>
      <c r="T31" s="11"/>
      <c r="U31" s="11">
        <v>81190</v>
      </c>
      <c r="V31" s="11">
        <v>8110</v>
      </c>
      <c r="W31" s="11">
        <v>381040</v>
      </c>
      <c r="X31" s="14">
        <f t="shared" si="1"/>
        <v>2901217</v>
      </c>
    </row>
    <row r="32" spans="2:24" ht="23.1" customHeight="1" thickBot="1" x14ac:dyDescent="0.35">
      <c r="B32" s="37">
        <v>45665</v>
      </c>
      <c r="C32" s="126" t="s">
        <v>21</v>
      </c>
      <c r="D32" s="126" t="s">
        <v>48</v>
      </c>
      <c r="E32" s="126" t="s">
        <v>86</v>
      </c>
      <c r="F32" s="38">
        <v>2258065</v>
      </c>
      <c r="G32" s="38">
        <v>0</v>
      </c>
      <c r="H32" s="38">
        <v>0</v>
      </c>
      <c r="I32" s="38">
        <v>0</v>
      </c>
      <c r="J32" s="38">
        <v>0</v>
      </c>
      <c r="K32" s="38">
        <v>0</v>
      </c>
      <c r="L32" s="38">
        <v>0</v>
      </c>
      <c r="M32" s="38">
        <v>0</v>
      </c>
      <c r="N32" s="39">
        <f t="shared" si="0"/>
        <v>2258065</v>
      </c>
      <c r="O32" s="38">
        <v>0</v>
      </c>
      <c r="P32" s="38">
        <v>0</v>
      </c>
      <c r="Q32" s="38">
        <v>0</v>
      </c>
      <c r="R32" s="38">
        <v>20320</v>
      </c>
      <c r="S32" s="38">
        <v>0</v>
      </c>
      <c r="T32" s="38"/>
      <c r="U32" s="38">
        <v>27560</v>
      </c>
      <c r="V32" s="38">
        <v>2750</v>
      </c>
      <c r="W32" s="38">
        <v>50630</v>
      </c>
      <c r="X32" s="40">
        <f t="shared" si="1"/>
        <v>2207435</v>
      </c>
    </row>
    <row r="33" spans="2:24" ht="22.6" customHeight="1" thickBot="1" x14ac:dyDescent="0.35">
      <c r="B33" s="111" t="s">
        <v>88</v>
      </c>
      <c r="C33" s="112" t="s">
        <v>89</v>
      </c>
      <c r="D33" s="41"/>
      <c r="E33" s="24"/>
      <c r="F33" s="25">
        <f t="shared" ref="F33:X33" si="2">SUM(F5:F32)</f>
        <v>136466400</v>
      </c>
      <c r="G33" s="26">
        <f t="shared" si="2"/>
        <v>2000000</v>
      </c>
      <c r="H33" s="26">
        <f t="shared" si="2"/>
        <v>50000</v>
      </c>
      <c r="I33" s="26">
        <f t="shared" si="2"/>
        <v>198924</v>
      </c>
      <c r="J33" s="26">
        <f t="shared" si="2"/>
        <v>0</v>
      </c>
      <c r="K33" s="26">
        <f t="shared" si="2"/>
        <v>0</v>
      </c>
      <c r="L33" s="26">
        <f t="shared" si="2"/>
        <v>0</v>
      </c>
      <c r="M33" s="26">
        <f t="shared" si="2"/>
        <v>0</v>
      </c>
      <c r="N33" s="27">
        <f t="shared" si="2"/>
        <v>138715324</v>
      </c>
      <c r="O33" s="28">
        <f t="shared" si="2"/>
        <v>4452310</v>
      </c>
      <c r="P33" s="28">
        <f t="shared" si="2"/>
        <v>4938460</v>
      </c>
      <c r="Q33" s="28">
        <f t="shared" si="2"/>
        <v>354100</v>
      </c>
      <c r="R33" s="28">
        <f t="shared" si="2"/>
        <v>962240</v>
      </c>
      <c r="S33" s="28">
        <f t="shared" si="2"/>
        <v>639430</v>
      </c>
      <c r="T33" s="28"/>
      <c r="U33" s="28">
        <f t="shared" si="2"/>
        <v>17192110</v>
      </c>
      <c r="V33" s="28">
        <f t="shared" si="2"/>
        <v>1719120</v>
      </c>
      <c r="W33" s="28">
        <f t="shared" si="2"/>
        <v>30257770</v>
      </c>
      <c r="X33" s="29">
        <f t="shared" si="2"/>
        <v>108457554</v>
      </c>
    </row>
    <row r="34" spans="2:24" x14ac:dyDescent="0.3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127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2:24" x14ac:dyDescent="0.3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35"/>
      <c r="O35" s="34"/>
      <c r="P35" s="34"/>
      <c r="Q35" s="34"/>
      <c r="R35" s="34"/>
      <c r="S35" s="34"/>
      <c r="T35" s="34"/>
      <c r="U35" s="34"/>
      <c r="V35" s="34"/>
      <c r="W35" s="34"/>
      <c r="X35" s="34"/>
    </row>
    <row r="36" spans="2:24" x14ac:dyDescent="0.3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34"/>
      <c r="P36" s="34"/>
      <c r="Q36" s="34"/>
      <c r="R36" s="34"/>
      <c r="S36" s="34"/>
      <c r="T36" s="34"/>
      <c r="U36" s="34"/>
      <c r="V36" s="34"/>
      <c r="W36" s="34"/>
      <c r="X36" s="34"/>
    </row>
  </sheetData>
  <phoneticPr fontId="2" type="noConversion"/>
  <pageMargins left="0.36" right="0.11811023622047245" top="0.74803149606299213" bottom="0.74803149606299213" header="0.31496062992125984" footer="0.31496062992125984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D9B14-7CDB-49AB-985F-41873AD40046}">
  <sheetPr codeName="Sheet3"/>
  <dimension ref="B1:L37"/>
  <sheetViews>
    <sheetView showGridLines="0" zoomScale="80" zoomScaleNormal="80" workbookViewId="0"/>
  </sheetViews>
  <sheetFormatPr defaultColWidth="9.08984375" defaultRowHeight="13.45" x14ac:dyDescent="0.3"/>
  <cols>
    <col min="1" max="1" width="2" style="42" customWidth="1"/>
    <col min="2" max="2" width="13.54296875" style="42" bestFit="1" customWidth="1"/>
    <col min="3" max="3" width="19.36328125" style="42" bestFit="1" customWidth="1"/>
    <col min="4" max="4" width="19.36328125" style="42" customWidth="1"/>
    <col min="5" max="5" width="11.81640625" style="42" bestFit="1" customWidth="1"/>
    <col min="6" max="6" width="13.6328125" style="42" customWidth="1"/>
    <col min="7" max="7" width="14.6328125" style="42" customWidth="1"/>
    <col min="8" max="8" width="14.1796875" style="42" customWidth="1"/>
    <col min="9" max="9" width="20.453125" style="42" customWidth="1"/>
    <col min="10" max="10" width="14.6328125" style="42" customWidth="1"/>
    <col min="11" max="11" width="13.81640625" style="42" customWidth="1"/>
    <col min="12" max="12" width="20.1796875" style="42" customWidth="1"/>
    <col min="13" max="16384" width="9.08984375" style="42"/>
  </cols>
  <sheetData>
    <row r="1" spans="2:12" ht="9.8000000000000007" customHeight="1" x14ac:dyDescent="0.3"/>
    <row r="2" spans="2:12" s="135" customFormat="1" ht="26.35" customHeight="1" x14ac:dyDescent="0.4">
      <c r="B2" s="133" t="s">
        <v>111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</row>
    <row r="3" spans="2:12" ht="20.3" customHeight="1" thickBot="1" x14ac:dyDescent="0.35">
      <c r="B3" s="43"/>
      <c r="C3" s="43"/>
      <c r="D3" s="43"/>
      <c r="E3" s="43"/>
      <c r="F3" s="43"/>
      <c r="G3" s="43"/>
      <c r="H3" s="43"/>
      <c r="I3" s="43"/>
      <c r="J3" s="43"/>
      <c r="K3" s="43"/>
      <c r="L3" s="44" t="s">
        <v>83</v>
      </c>
    </row>
    <row r="4" spans="2:12" s="51" customFormat="1" ht="54.3" thickBot="1" x14ac:dyDescent="0.35">
      <c r="B4" s="45" t="s">
        <v>59</v>
      </c>
      <c r="C4" s="46" t="s">
        <v>60</v>
      </c>
      <c r="D4" s="124" t="s">
        <v>61</v>
      </c>
      <c r="E4" s="47" t="s">
        <v>62</v>
      </c>
      <c r="F4" s="48" t="s">
        <v>91</v>
      </c>
      <c r="G4" s="47" t="s">
        <v>71</v>
      </c>
      <c r="H4" s="110" t="s">
        <v>75</v>
      </c>
      <c r="I4" s="50" t="s">
        <v>78</v>
      </c>
      <c r="J4" s="110" t="s">
        <v>92</v>
      </c>
      <c r="K4" s="49" t="s">
        <v>81</v>
      </c>
      <c r="L4" s="47" t="s">
        <v>93</v>
      </c>
    </row>
    <row r="5" spans="2:12" ht="23.1" customHeight="1" x14ac:dyDescent="0.3">
      <c r="B5" s="52" t="s">
        <v>1</v>
      </c>
      <c r="C5" s="53" t="s">
        <v>0</v>
      </c>
      <c r="D5" s="53" t="str">
        <f>C5</f>
        <v>Shin Jonghoon Bryan</v>
      </c>
      <c r="E5" s="53" t="s">
        <v>85</v>
      </c>
      <c r="F5" s="54">
        <v>300000</v>
      </c>
      <c r="G5" s="55">
        <f t="shared" ref="G5:G24" si="0">SUM(F5:F5)</f>
        <v>300000</v>
      </c>
      <c r="H5" s="54">
        <v>0</v>
      </c>
      <c r="I5" s="54">
        <v>0</v>
      </c>
      <c r="J5" s="54">
        <v>0</v>
      </c>
      <c r="K5" s="56">
        <v>0</v>
      </c>
      <c r="L5" s="64">
        <f t="shared" ref="L5:L32" si="1">G5-K5</f>
        <v>300000</v>
      </c>
    </row>
    <row r="6" spans="2:12" ht="23.1" customHeight="1" x14ac:dyDescent="0.3">
      <c r="B6" s="59" t="s">
        <v>15</v>
      </c>
      <c r="C6" s="60" t="s">
        <v>114</v>
      </c>
      <c r="D6" s="60" t="s">
        <v>22</v>
      </c>
      <c r="E6" s="60" t="s">
        <v>86</v>
      </c>
      <c r="F6" s="61">
        <v>0</v>
      </c>
      <c r="G6" s="62">
        <f t="shared" si="0"/>
        <v>0</v>
      </c>
      <c r="H6" s="61">
        <v>0</v>
      </c>
      <c r="I6" s="61">
        <v>0</v>
      </c>
      <c r="J6" s="61">
        <v>0</v>
      </c>
      <c r="K6" s="63">
        <v>0</v>
      </c>
      <c r="L6" s="64">
        <f t="shared" si="1"/>
        <v>0</v>
      </c>
    </row>
    <row r="7" spans="2:12" ht="23.1" customHeight="1" x14ac:dyDescent="0.3">
      <c r="B7" s="59" t="s">
        <v>2</v>
      </c>
      <c r="C7" s="60" t="s">
        <v>115</v>
      </c>
      <c r="D7" s="60" t="s">
        <v>23</v>
      </c>
      <c r="E7" s="60" t="s">
        <v>86</v>
      </c>
      <c r="F7" s="61">
        <v>300000</v>
      </c>
      <c r="G7" s="62">
        <f t="shared" si="0"/>
        <v>300000</v>
      </c>
      <c r="H7" s="61">
        <v>0</v>
      </c>
      <c r="I7" s="61">
        <v>0</v>
      </c>
      <c r="J7" s="61">
        <v>0</v>
      </c>
      <c r="K7" s="63">
        <v>0</v>
      </c>
      <c r="L7" s="64">
        <f t="shared" si="1"/>
        <v>300000</v>
      </c>
    </row>
    <row r="8" spans="2:12" ht="23.1" customHeight="1" x14ac:dyDescent="0.3">
      <c r="B8" s="59" t="s">
        <v>3</v>
      </c>
      <c r="C8" s="60" t="s">
        <v>116</v>
      </c>
      <c r="D8" s="60" t="s">
        <v>24</v>
      </c>
      <c r="E8" s="60" t="s">
        <v>84</v>
      </c>
      <c r="F8" s="61">
        <v>300000</v>
      </c>
      <c r="G8" s="62">
        <f t="shared" si="0"/>
        <v>300000</v>
      </c>
      <c r="H8" s="61">
        <v>0</v>
      </c>
      <c r="I8" s="61">
        <v>0</v>
      </c>
      <c r="J8" s="61">
        <v>0</v>
      </c>
      <c r="K8" s="63">
        <v>0</v>
      </c>
      <c r="L8" s="64">
        <f t="shared" si="1"/>
        <v>300000</v>
      </c>
    </row>
    <row r="9" spans="2:12" ht="23.1" customHeight="1" x14ac:dyDescent="0.3">
      <c r="B9" s="59" t="s">
        <v>4</v>
      </c>
      <c r="C9" s="60" t="s">
        <v>117</v>
      </c>
      <c r="D9" s="60" t="s">
        <v>25</v>
      </c>
      <c r="E9" s="60" t="s">
        <v>84</v>
      </c>
      <c r="F9" s="61">
        <v>300000</v>
      </c>
      <c r="G9" s="62">
        <f t="shared" si="0"/>
        <v>300000</v>
      </c>
      <c r="H9" s="61">
        <v>0</v>
      </c>
      <c r="I9" s="61">
        <v>0</v>
      </c>
      <c r="J9" s="61">
        <v>0</v>
      </c>
      <c r="K9" s="63">
        <v>0</v>
      </c>
      <c r="L9" s="64">
        <f t="shared" si="1"/>
        <v>300000</v>
      </c>
    </row>
    <row r="10" spans="2:12" ht="23.1" customHeight="1" x14ac:dyDescent="0.3">
      <c r="B10" s="59" t="s">
        <v>5</v>
      </c>
      <c r="C10" s="60" t="s">
        <v>118</v>
      </c>
      <c r="D10" s="60" t="s">
        <v>26</v>
      </c>
      <c r="E10" s="60" t="s">
        <v>86</v>
      </c>
      <c r="F10" s="61">
        <v>300000</v>
      </c>
      <c r="G10" s="62">
        <f t="shared" si="0"/>
        <v>300000</v>
      </c>
      <c r="H10" s="61">
        <v>0</v>
      </c>
      <c r="I10" s="61">
        <v>0</v>
      </c>
      <c r="J10" s="61">
        <v>0</v>
      </c>
      <c r="K10" s="63">
        <v>0</v>
      </c>
      <c r="L10" s="64">
        <f t="shared" si="1"/>
        <v>300000</v>
      </c>
    </row>
    <row r="11" spans="2:12" ht="23.1" customHeight="1" x14ac:dyDescent="0.3">
      <c r="B11" s="59" t="s">
        <v>6</v>
      </c>
      <c r="C11" s="60" t="s">
        <v>119</v>
      </c>
      <c r="D11" s="60" t="s">
        <v>27</v>
      </c>
      <c r="E11" s="60" t="s">
        <v>86</v>
      </c>
      <c r="F11" s="61">
        <v>300000</v>
      </c>
      <c r="G11" s="62">
        <f t="shared" si="0"/>
        <v>300000</v>
      </c>
      <c r="H11" s="61">
        <v>0</v>
      </c>
      <c r="I11" s="61">
        <v>0</v>
      </c>
      <c r="J11" s="61">
        <v>0</v>
      </c>
      <c r="K11" s="63">
        <v>0</v>
      </c>
      <c r="L11" s="64">
        <f t="shared" si="1"/>
        <v>300000</v>
      </c>
    </row>
    <row r="12" spans="2:12" ht="23.1" customHeight="1" x14ac:dyDescent="0.3">
      <c r="B12" s="59" t="s">
        <v>7</v>
      </c>
      <c r="C12" s="60" t="s">
        <v>120</v>
      </c>
      <c r="D12" s="60" t="s">
        <v>28</v>
      </c>
      <c r="E12" s="60" t="s">
        <v>84</v>
      </c>
      <c r="F12" s="61">
        <v>300000</v>
      </c>
      <c r="G12" s="62">
        <f t="shared" si="0"/>
        <v>300000</v>
      </c>
      <c r="H12" s="61">
        <v>0</v>
      </c>
      <c r="I12" s="61">
        <v>0</v>
      </c>
      <c r="J12" s="61">
        <v>0</v>
      </c>
      <c r="K12" s="63">
        <v>0</v>
      </c>
      <c r="L12" s="64">
        <f t="shared" si="1"/>
        <v>300000</v>
      </c>
    </row>
    <row r="13" spans="2:12" ht="23.1" customHeight="1" x14ac:dyDescent="0.3">
      <c r="B13" s="59" t="s">
        <v>8</v>
      </c>
      <c r="C13" s="60" t="s">
        <v>121</v>
      </c>
      <c r="D13" s="60" t="s">
        <v>29</v>
      </c>
      <c r="E13" s="60" t="s">
        <v>85</v>
      </c>
      <c r="F13" s="61">
        <v>300000</v>
      </c>
      <c r="G13" s="62">
        <f t="shared" si="0"/>
        <v>300000</v>
      </c>
      <c r="H13" s="61">
        <v>0</v>
      </c>
      <c r="I13" s="61">
        <v>0</v>
      </c>
      <c r="J13" s="61">
        <v>0</v>
      </c>
      <c r="K13" s="63">
        <v>0</v>
      </c>
      <c r="L13" s="64">
        <f t="shared" si="1"/>
        <v>300000</v>
      </c>
    </row>
    <row r="14" spans="2:12" ht="23.1" customHeight="1" x14ac:dyDescent="0.3">
      <c r="B14" s="59" t="s">
        <v>9</v>
      </c>
      <c r="C14" s="60" t="s">
        <v>122</v>
      </c>
      <c r="D14" s="60" t="s">
        <v>30</v>
      </c>
      <c r="E14" s="60" t="s">
        <v>87</v>
      </c>
      <c r="F14" s="61">
        <v>300000</v>
      </c>
      <c r="G14" s="62">
        <f t="shared" si="0"/>
        <v>300000</v>
      </c>
      <c r="H14" s="61">
        <v>0</v>
      </c>
      <c r="I14" s="61">
        <v>0</v>
      </c>
      <c r="J14" s="61">
        <v>0</v>
      </c>
      <c r="K14" s="63">
        <v>0</v>
      </c>
      <c r="L14" s="64">
        <f t="shared" si="1"/>
        <v>300000</v>
      </c>
    </row>
    <row r="15" spans="2:12" ht="23.1" customHeight="1" x14ac:dyDescent="0.3">
      <c r="B15" s="59" t="s">
        <v>10</v>
      </c>
      <c r="C15" s="60" t="s">
        <v>123</v>
      </c>
      <c r="D15" s="60" t="s">
        <v>31</v>
      </c>
      <c r="E15" s="60" t="s">
        <v>86</v>
      </c>
      <c r="F15" s="61">
        <v>300000</v>
      </c>
      <c r="G15" s="62">
        <f t="shared" si="0"/>
        <v>300000</v>
      </c>
      <c r="H15" s="61">
        <v>0</v>
      </c>
      <c r="I15" s="61">
        <v>0</v>
      </c>
      <c r="J15" s="61">
        <v>0</v>
      </c>
      <c r="K15" s="63">
        <v>0</v>
      </c>
      <c r="L15" s="64">
        <f t="shared" si="1"/>
        <v>300000</v>
      </c>
    </row>
    <row r="16" spans="2:12" ht="23.1" customHeight="1" x14ac:dyDescent="0.3">
      <c r="B16" s="59" t="s">
        <v>49</v>
      </c>
      <c r="C16" s="60" t="s">
        <v>124</v>
      </c>
      <c r="D16" s="60" t="s">
        <v>32</v>
      </c>
      <c r="E16" s="60" t="s">
        <v>86</v>
      </c>
      <c r="F16" s="61">
        <v>300000</v>
      </c>
      <c r="G16" s="62">
        <f t="shared" si="0"/>
        <v>300000</v>
      </c>
      <c r="H16" s="61">
        <v>0</v>
      </c>
      <c r="I16" s="61">
        <v>0</v>
      </c>
      <c r="J16" s="61">
        <v>0</v>
      </c>
      <c r="K16" s="63">
        <v>0</v>
      </c>
      <c r="L16" s="64">
        <f t="shared" si="1"/>
        <v>300000</v>
      </c>
    </row>
    <row r="17" spans="2:12" ht="23.1" customHeight="1" x14ac:dyDescent="0.3">
      <c r="B17" s="59" t="s">
        <v>11</v>
      </c>
      <c r="C17" s="60" t="s">
        <v>125</v>
      </c>
      <c r="D17" s="60" t="s">
        <v>33</v>
      </c>
      <c r="E17" s="60" t="s">
        <v>87</v>
      </c>
      <c r="F17" s="61">
        <v>300000</v>
      </c>
      <c r="G17" s="62">
        <f t="shared" si="0"/>
        <v>300000</v>
      </c>
      <c r="H17" s="61">
        <v>0</v>
      </c>
      <c r="I17" s="61">
        <v>0</v>
      </c>
      <c r="J17" s="61">
        <v>0</v>
      </c>
      <c r="K17" s="63">
        <v>0</v>
      </c>
      <c r="L17" s="64">
        <f t="shared" si="1"/>
        <v>300000</v>
      </c>
    </row>
    <row r="18" spans="2:12" ht="23.1" customHeight="1" x14ac:dyDescent="0.3">
      <c r="B18" s="59" t="s">
        <v>12</v>
      </c>
      <c r="C18" s="60" t="s">
        <v>126</v>
      </c>
      <c r="D18" s="60" t="s">
        <v>34</v>
      </c>
      <c r="E18" s="60" t="s">
        <v>87</v>
      </c>
      <c r="F18" s="61">
        <v>300000</v>
      </c>
      <c r="G18" s="62">
        <f t="shared" si="0"/>
        <v>300000</v>
      </c>
      <c r="H18" s="61">
        <v>0</v>
      </c>
      <c r="I18" s="61">
        <v>0</v>
      </c>
      <c r="J18" s="61">
        <v>0</v>
      </c>
      <c r="K18" s="63">
        <v>0</v>
      </c>
      <c r="L18" s="64">
        <f t="shared" si="1"/>
        <v>300000</v>
      </c>
    </row>
    <row r="19" spans="2:12" ht="23.1" customHeight="1" x14ac:dyDescent="0.3">
      <c r="B19" s="59" t="s">
        <v>13</v>
      </c>
      <c r="C19" s="60" t="s">
        <v>127</v>
      </c>
      <c r="D19" s="60" t="s">
        <v>35</v>
      </c>
      <c r="E19" s="60" t="s">
        <v>87</v>
      </c>
      <c r="F19" s="61">
        <v>0</v>
      </c>
      <c r="G19" s="62">
        <f t="shared" si="0"/>
        <v>0</v>
      </c>
      <c r="H19" s="61">
        <v>0</v>
      </c>
      <c r="I19" s="61">
        <v>0</v>
      </c>
      <c r="J19" s="61">
        <v>0</v>
      </c>
      <c r="K19" s="63">
        <v>0</v>
      </c>
      <c r="L19" s="64">
        <f t="shared" si="1"/>
        <v>0</v>
      </c>
    </row>
    <row r="20" spans="2:12" ht="23.1" customHeight="1" x14ac:dyDescent="0.3">
      <c r="B20" s="59" t="s">
        <v>14</v>
      </c>
      <c r="C20" s="60" t="s">
        <v>128</v>
      </c>
      <c r="D20" s="60" t="s">
        <v>36</v>
      </c>
      <c r="E20" s="60" t="s">
        <v>87</v>
      </c>
      <c r="F20" s="61">
        <v>300000</v>
      </c>
      <c r="G20" s="62">
        <f t="shared" si="0"/>
        <v>300000</v>
      </c>
      <c r="H20" s="61">
        <v>0</v>
      </c>
      <c r="I20" s="61">
        <v>0</v>
      </c>
      <c r="J20" s="61">
        <v>0</v>
      </c>
      <c r="K20" s="63">
        <v>0</v>
      </c>
      <c r="L20" s="64">
        <f t="shared" si="1"/>
        <v>300000</v>
      </c>
    </row>
    <row r="21" spans="2:12" ht="23.1" customHeight="1" x14ac:dyDescent="0.3">
      <c r="B21" s="59" t="s">
        <v>16</v>
      </c>
      <c r="C21" s="60" t="s">
        <v>129</v>
      </c>
      <c r="D21" s="60" t="s">
        <v>37</v>
      </c>
      <c r="E21" s="60" t="s">
        <v>86</v>
      </c>
      <c r="F21" s="61">
        <v>300000</v>
      </c>
      <c r="G21" s="62">
        <f t="shared" si="0"/>
        <v>300000</v>
      </c>
      <c r="H21" s="61">
        <v>0</v>
      </c>
      <c r="I21" s="61">
        <v>0</v>
      </c>
      <c r="J21" s="61">
        <v>0</v>
      </c>
      <c r="K21" s="63">
        <v>0</v>
      </c>
      <c r="L21" s="64">
        <f t="shared" si="1"/>
        <v>300000</v>
      </c>
    </row>
    <row r="22" spans="2:12" ht="23.1" customHeight="1" x14ac:dyDescent="0.3">
      <c r="B22" s="66">
        <v>44879</v>
      </c>
      <c r="C22" s="76" t="s">
        <v>130</v>
      </c>
      <c r="D22" s="76" t="s">
        <v>38</v>
      </c>
      <c r="E22" s="76" t="s">
        <v>86</v>
      </c>
      <c r="F22" s="61">
        <v>300000</v>
      </c>
      <c r="G22" s="77">
        <f t="shared" si="0"/>
        <v>300000</v>
      </c>
      <c r="H22" s="61">
        <v>0</v>
      </c>
      <c r="I22" s="61">
        <v>0</v>
      </c>
      <c r="J22" s="61">
        <v>0</v>
      </c>
      <c r="K22" s="63">
        <v>0</v>
      </c>
      <c r="L22" s="64">
        <f t="shared" si="1"/>
        <v>300000</v>
      </c>
    </row>
    <row r="23" spans="2:12" ht="23.1" customHeight="1" x14ac:dyDescent="0.3">
      <c r="B23" s="66">
        <v>44923</v>
      </c>
      <c r="C23" s="76" t="s">
        <v>131</v>
      </c>
      <c r="D23" s="76" t="s">
        <v>39</v>
      </c>
      <c r="E23" s="76" t="s">
        <v>86</v>
      </c>
      <c r="F23" s="61">
        <v>300000</v>
      </c>
      <c r="G23" s="77">
        <f t="shared" si="0"/>
        <v>300000</v>
      </c>
      <c r="H23" s="61">
        <v>0</v>
      </c>
      <c r="I23" s="61">
        <v>0</v>
      </c>
      <c r="J23" s="61">
        <v>0</v>
      </c>
      <c r="K23" s="61">
        <v>0</v>
      </c>
      <c r="L23" s="64">
        <f t="shared" si="1"/>
        <v>300000</v>
      </c>
    </row>
    <row r="24" spans="2:12" ht="23.1" customHeight="1" x14ac:dyDescent="0.3">
      <c r="B24" s="66">
        <v>45034</v>
      </c>
      <c r="C24" s="76" t="s">
        <v>132</v>
      </c>
      <c r="D24" s="76" t="s">
        <v>40</v>
      </c>
      <c r="E24" s="76" t="s">
        <v>87</v>
      </c>
      <c r="F24" s="61">
        <v>300000</v>
      </c>
      <c r="G24" s="77">
        <f t="shared" si="0"/>
        <v>300000</v>
      </c>
      <c r="H24" s="61">
        <v>0</v>
      </c>
      <c r="I24" s="61">
        <v>0</v>
      </c>
      <c r="J24" s="61">
        <v>0</v>
      </c>
      <c r="K24" s="61">
        <v>0</v>
      </c>
      <c r="L24" s="64">
        <f t="shared" si="1"/>
        <v>300000</v>
      </c>
    </row>
    <row r="25" spans="2:12" ht="23.1" customHeight="1" x14ac:dyDescent="0.3">
      <c r="B25" s="66">
        <v>45212</v>
      </c>
      <c r="C25" s="76" t="s">
        <v>133</v>
      </c>
      <c r="D25" s="76" t="s">
        <v>41</v>
      </c>
      <c r="E25" s="76" t="s">
        <v>87</v>
      </c>
      <c r="F25" s="61">
        <v>300000</v>
      </c>
      <c r="G25" s="77">
        <f>SUM(F25:F25)</f>
        <v>300000</v>
      </c>
      <c r="H25" s="61">
        <v>0</v>
      </c>
      <c r="I25" s="61">
        <v>0</v>
      </c>
      <c r="J25" s="61">
        <v>0</v>
      </c>
      <c r="K25" s="61">
        <v>0</v>
      </c>
      <c r="L25" s="64">
        <f t="shared" si="1"/>
        <v>300000</v>
      </c>
    </row>
    <row r="26" spans="2:12" ht="23.1" customHeight="1" x14ac:dyDescent="0.3">
      <c r="B26" s="66">
        <v>45366</v>
      </c>
      <c r="C26" s="76" t="s">
        <v>50</v>
      </c>
      <c r="D26" s="76" t="s">
        <v>42</v>
      </c>
      <c r="E26" s="76" t="s">
        <v>86</v>
      </c>
      <c r="F26" s="61">
        <v>300000</v>
      </c>
      <c r="G26" s="77">
        <f>SUM(F26:F26)</f>
        <v>300000</v>
      </c>
      <c r="H26" s="61">
        <v>0</v>
      </c>
      <c r="I26" s="61">
        <v>0</v>
      </c>
      <c r="J26" s="61">
        <v>0</v>
      </c>
      <c r="K26" s="61">
        <v>0</v>
      </c>
      <c r="L26" s="64">
        <f t="shared" si="1"/>
        <v>300000</v>
      </c>
    </row>
    <row r="27" spans="2:12" ht="23.1" customHeight="1" x14ac:dyDescent="0.3">
      <c r="B27" s="73">
        <v>45366</v>
      </c>
      <c r="C27" s="74" t="s">
        <v>51</v>
      </c>
      <c r="D27" s="74" t="s">
        <v>43</v>
      </c>
      <c r="E27" s="74" t="s">
        <v>86</v>
      </c>
      <c r="F27" s="69">
        <v>300000</v>
      </c>
      <c r="G27" s="75">
        <f t="shared" ref="G27:G32" si="2">SUM(F27:F27)</f>
        <v>300000</v>
      </c>
      <c r="H27" s="69">
        <v>0</v>
      </c>
      <c r="I27" s="69">
        <v>0</v>
      </c>
      <c r="J27" s="69">
        <v>0</v>
      </c>
      <c r="K27" s="69">
        <v>0</v>
      </c>
      <c r="L27" s="72">
        <f t="shared" si="1"/>
        <v>300000</v>
      </c>
    </row>
    <row r="28" spans="2:12" ht="23.1" customHeight="1" x14ac:dyDescent="0.3">
      <c r="B28" s="66">
        <v>45554</v>
      </c>
      <c r="C28" s="76" t="s">
        <v>17</v>
      </c>
      <c r="D28" s="76" t="s">
        <v>44</v>
      </c>
      <c r="E28" s="76" t="s">
        <v>87</v>
      </c>
      <c r="F28" s="61">
        <v>300000</v>
      </c>
      <c r="G28" s="77">
        <f t="shared" si="2"/>
        <v>300000</v>
      </c>
      <c r="H28" s="63">
        <v>0</v>
      </c>
      <c r="I28" s="63">
        <v>0</v>
      </c>
      <c r="J28" s="63">
        <v>0</v>
      </c>
      <c r="K28" s="63">
        <v>0</v>
      </c>
      <c r="L28" s="92">
        <f t="shared" si="1"/>
        <v>300000</v>
      </c>
    </row>
    <row r="29" spans="2:12" ht="23.1" customHeight="1" x14ac:dyDescent="0.3">
      <c r="B29" s="66">
        <v>45593</v>
      </c>
      <c r="C29" s="76" t="s">
        <v>18</v>
      </c>
      <c r="D29" s="76" t="s">
        <v>45</v>
      </c>
      <c r="E29" s="76" t="s">
        <v>87</v>
      </c>
      <c r="F29" s="61">
        <v>300000</v>
      </c>
      <c r="G29" s="77">
        <f t="shared" si="2"/>
        <v>300000</v>
      </c>
      <c r="H29" s="63">
        <v>0</v>
      </c>
      <c r="I29" s="63">
        <v>0</v>
      </c>
      <c r="J29" s="63">
        <v>0</v>
      </c>
      <c r="K29" s="63">
        <v>0</v>
      </c>
      <c r="L29" s="92">
        <f t="shared" si="1"/>
        <v>300000</v>
      </c>
    </row>
    <row r="30" spans="2:12" ht="23.1" customHeight="1" x14ac:dyDescent="0.3">
      <c r="B30" s="66">
        <v>45627</v>
      </c>
      <c r="C30" s="76" t="s">
        <v>19</v>
      </c>
      <c r="D30" s="76" t="s">
        <v>46</v>
      </c>
      <c r="E30" s="76" t="s">
        <v>86</v>
      </c>
      <c r="F30" s="61">
        <v>0</v>
      </c>
      <c r="G30" s="77">
        <f t="shared" si="2"/>
        <v>0</v>
      </c>
      <c r="H30" s="63">
        <v>0</v>
      </c>
      <c r="I30" s="63">
        <v>0</v>
      </c>
      <c r="J30" s="63">
        <v>0</v>
      </c>
      <c r="K30" s="63">
        <v>0</v>
      </c>
      <c r="L30" s="92">
        <f t="shared" si="1"/>
        <v>0</v>
      </c>
    </row>
    <row r="31" spans="2:12" ht="23.1" customHeight="1" x14ac:dyDescent="0.3">
      <c r="B31" s="73">
        <v>45656</v>
      </c>
      <c r="C31" s="74" t="s">
        <v>20</v>
      </c>
      <c r="D31" s="74" t="s">
        <v>47</v>
      </c>
      <c r="E31" s="74" t="s">
        <v>84</v>
      </c>
      <c r="F31" s="69">
        <v>0</v>
      </c>
      <c r="G31" s="75">
        <f t="shared" si="2"/>
        <v>0</v>
      </c>
      <c r="H31" s="71">
        <v>0</v>
      </c>
      <c r="I31" s="71">
        <v>0</v>
      </c>
      <c r="J31" s="71">
        <v>0</v>
      </c>
      <c r="K31" s="71">
        <v>0</v>
      </c>
      <c r="L31" s="93">
        <f t="shared" si="1"/>
        <v>0</v>
      </c>
    </row>
    <row r="32" spans="2:12" ht="23.1" customHeight="1" thickBot="1" x14ac:dyDescent="0.35">
      <c r="B32" s="78">
        <v>45665</v>
      </c>
      <c r="C32" s="128" t="s">
        <v>21</v>
      </c>
      <c r="D32" s="128" t="s">
        <v>48</v>
      </c>
      <c r="E32" s="128" t="s">
        <v>86</v>
      </c>
      <c r="F32" s="79">
        <v>0</v>
      </c>
      <c r="G32" s="80">
        <f t="shared" si="2"/>
        <v>0</v>
      </c>
      <c r="H32" s="94">
        <v>0</v>
      </c>
      <c r="I32" s="94">
        <v>0</v>
      </c>
      <c r="J32" s="94">
        <v>0</v>
      </c>
      <c r="K32" s="94">
        <v>0</v>
      </c>
      <c r="L32" s="95">
        <f t="shared" si="1"/>
        <v>0</v>
      </c>
    </row>
    <row r="33" spans="2:12" ht="22.6" customHeight="1" thickBot="1" x14ac:dyDescent="0.35">
      <c r="B33" s="82" t="s">
        <v>113</v>
      </c>
      <c r="C33" s="83" t="s">
        <v>89</v>
      </c>
      <c r="D33" s="91"/>
      <c r="E33" s="84"/>
      <c r="F33" s="85">
        <f t="shared" ref="F33:L33" si="3">SUM(F5:F32)</f>
        <v>6900000</v>
      </c>
      <c r="G33" s="87">
        <f t="shared" si="3"/>
        <v>6900000</v>
      </c>
      <c r="H33" s="88">
        <f t="shared" si="3"/>
        <v>0</v>
      </c>
      <c r="I33" s="88">
        <f t="shared" si="3"/>
        <v>0</v>
      </c>
      <c r="J33" s="88">
        <f t="shared" si="3"/>
        <v>0</v>
      </c>
      <c r="K33" s="88">
        <f t="shared" si="3"/>
        <v>0</v>
      </c>
      <c r="L33" s="89">
        <f t="shared" si="3"/>
        <v>6900000</v>
      </c>
    </row>
    <row r="34" spans="2:12" x14ac:dyDescent="0.3">
      <c r="B34" s="43"/>
      <c r="C34" s="43"/>
      <c r="D34" s="43"/>
      <c r="E34" s="43"/>
      <c r="F34" s="90"/>
      <c r="G34" s="43"/>
      <c r="H34" s="90"/>
      <c r="I34" s="90"/>
      <c r="J34" s="90"/>
      <c r="K34" s="90"/>
      <c r="L34" s="90"/>
    </row>
    <row r="35" spans="2:12" x14ac:dyDescent="0.3">
      <c r="B35" s="43"/>
      <c r="C35" s="43"/>
      <c r="D35" s="43"/>
      <c r="E35" s="43"/>
      <c r="F35" s="43"/>
      <c r="G35" s="43"/>
      <c r="H35" s="90"/>
      <c r="I35" s="90"/>
      <c r="J35" s="90"/>
      <c r="K35" s="90"/>
      <c r="L35" s="90"/>
    </row>
    <row r="36" spans="2:12" x14ac:dyDescent="0.3">
      <c r="B36" s="43"/>
      <c r="C36" s="43"/>
      <c r="D36" s="43"/>
      <c r="E36" s="43"/>
      <c r="F36" s="43"/>
      <c r="G36" s="43"/>
      <c r="H36" s="90"/>
      <c r="I36" s="90"/>
      <c r="J36" s="90"/>
      <c r="K36" s="90"/>
      <c r="L36" s="90"/>
    </row>
    <row r="37" spans="2:12" x14ac:dyDescent="0.3">
      <c r="B37" s="43"/>
      <c r="C37" s="43"/>
      <c r="D37" s="43"/>
      <c r="E37" s="43"/>
      <c r="F37" s="43"/>
      <c r="G37" s="43"/>
      <c r="H37" s="90"/>
      <c r="I37" s="90"/>
      <c r="J37" s="90"/>
      <c r="K37" s="90"/>
      <c r="L37" s="90"/>
    </row>
  </sheetData>
  <autoFilter ref="B4:L34" xr:uid="{A5F3B8F1-EBB0-473B-9647-B160177B5DC0}"/>
  <phoneticPr fontId="2" type="noConversion"/>
  <pageMargins left="0.36" right="0.11811023622047245" top="0.74803149606299213" bottom="0.74803149606299213" header="0.31496062992125984" footer="0.31496062992125984"/>
  <pageSetup paperSize="9" scale="5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F3A18-6EB7-4136-A9FC-64F41E637496}">
  <sheetPr codeName="Sheet2"/>
  <dimension ref="B1:X37"/>
  <sheetViews>
    <sheetView showGridLines="0" zoomScale="80" zoomScaleNormal="80" workbookViewId="0"/>
  </sheetViews>
  <sheetFormatPr defaultColWidth="9.08984375" defaultRowHeight="13.45" x14ac:dyDescent="0.3"/>
  <cols>
    <col min="1" max="1" width="2" style="42" customWidth="1"/>
    <col min="2" max="2" width="13.54296875" style="42" bestFit="1" customWidth="1"/>
    <col min="3" max="4" width="20" style="42" bestFit="1" customWidth="1"/>
    <col min="5" max="5" width="14.6328125" style="42" bestFit="1" customWidth="1"/>
    <col min="6" max="7" width="13.6328125" style="42" customWidth="1"/>
    <col min="8" max="8" width="23" style="42" customWidth="1"/>
    <col min="9" max="10" width="13.54296875" style="42" customWidth="1"/>
    <col min="11" max="11" width="12.81640625" style="42" customWidth="1"/>
    <col min="12" max="12" width="14.81640625" style="42" customWidth="1"/>
    <col min="13" max="13" width="15.1796875" style="42" bestFit="1" customWidth="1"/>
    <col min="14" max="14" width="12.6328125" style="42" customWidth="1"/>
    <col min="15" max="15" width="11.54296875" style="42" customWidth="1"/>
    <col min="16" max="16" width="11.453125" style="42" customWidth="1"/>
    <col min="17" max="17" width="19.1796875" style="42" customWidth="1"/>
    <col min="18" max="18" width="11.08984375" style="42" customWidth="1"/>
    <col min="19" max="20" width="15.453125" style="42" customWidth="1"/>
    <col min="21" max="21" width="12.1796875" style="42" customWidth="1"/>
    <col min="22" max="22" width="12.453125" style="42" customWidth="1"/>
    <col min="23" max="23" width="18.453125" style="42" customWidth="1"/>
    <col min="24" max="24" width="20" style="42" customWidth="1"/>
    <col min="25" max="16384" width="9.08984375" style="42"/>
  </cols>
  <sheetData>
    <row r="1" spans="2:24" ht="9.8000000000000007" customHeight="1" x14ac:dyDescent="0.3"/>
    <row r="2" spans="2:24" s="135" customFormat="1" ht="26.35" customHeight="1" x14ac:dyDescent="0.4">
      <c r="B2" s="133" t="s">
        <v>143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</row>
    <row r="3" spans="2:24" ht="20.3" customHeight="1" thickBot="1" x14ac:dyDescent="0.35"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4" t="s">
        <v>83</v>
      </c>
    </row>
    <row r="4" spans="2:24" s="51" customFormat="1" ht="54.3" thickBot="1" x14ac:dyDescent="0.35">
      <c r="B4" s="45" t="s">
        <v>59</v>
      </c>
      <c r="C4" s="46" t="s">
        <v>60</v>
      </c>
      <c r="D4" s="124" t="s">
        <v>61</v>
      </c>
      <c r="E4" s="47" t="s">
        <v>62</v>
      </c>
      <c r="F4" s="48" t="s">
        <v>63</v>
      </c>
      <c r="G4" s="49" t="s">
        <v>64</v>
      </c>
      <c r="H4" s="108" t="s">
        <v>65</v>
      </c>
      <c r="I4" s="49" t="s">
        <v>66</v>
      </c>
      <c r="J4" s="108" t="s">
        <v>67</v>
      </c>
      <c r="K4" s="49" t="s">
        <v>68</v>
      </c>
      <c r="L4" s="108" t="s">
        <v>69</v>
      </c>
      <c r="M4" s="46" t="s">
        <v>70</v>
      </c>
      <c r="N4" s="47" t="s">
        <v>71</v>
      </c>
      <c r="O4" s="109" t="s">
        <v>72</v>
      </c>
      <c r="P4" s="110" t="s">
        <v>73</v>
      </c>
      <c r="Q4" s="110" t="s">
        <v>74</v>
      </c>
      <c r="R4" s="110" t="s">
        <v>75</v>
      </c>
      <c r="S4" s="110" t="s">
        <v>76</v>
      </c>
      <c r="T4" s="50" t="s">
        <v>77</v>
      </c>
      <c r="U4" s="110" t="s">
        <v>79</v>
      </c>
      <c r="V4" s="110" t="s">
        <v>80</v>
      </c>
      <c r="W4" s="49" t="s">
        <v>81</v>
      </c>
      <c r="X4" s="47" t="s">
        <v>82</v>
      </c>
    </row>
    <row r="5" spans="2:24" ht="23.1" customHeight="1" x14ac:dyDescent="0.3">
      <c r="B5" s="52" t="s">
        <v>1</v>
      </c>
      <c r="C5" s="53" t="s">
        <v>0</v>
      </c>
      <c r="D5" s="53" t="str">
        <f>C5</f>
        <v>Shin Jonghoon Bryan</v>
      </c>
      <c r="E5" s="53" t="s">
        <v>85</v>
      </c>
      <c r="F5" s="54">
        <v>30685417</v>
      </c>
      <c r="G5" s="54">
        <v>2000000</v>
      </c>
      <c r="H5" s="54">
        <v>0</v>
      </c>
      <c r="I5" s="54">
        <v>893750</v>
      </c>
      <c r="J5" s="54">
        <v>0</v>
      </c>
      <c r="K5" s="54">
        <v>0</v>
      </c>
      <c r="L5" s="54">
        <v>0</v>
      </c>
      <c r="M5" s="54">
        <v>0</v>
      </c>
      <c r="N5" s="55">
        <f t="shared" ref="N5:N32" si="0">SUM(F5:M5)</f>
        <v>33579167</v>
      </c>
      <c r="O5" s="54">
        <v>277650</v>
      </c>
      <c r="P5" s="54">
        <v>1152990</v>
      </c>
      <c r="Q5" s="54">
        <v>0</v>
      </c>
      <c r="R5" s="54">
        <v>0</v>
      </c>
      <c r="S5" s="54">
        <v>149310</v>
      </c>
      <c r="T5" s="54">
        <v>-3787800</v>
      </c>
      <c r="U5" s="54">
        <v>9639600</v>
      </c>
      <c r="V5" s="54">
        <v>963960</v>
      </c>
      <c r="W5" s="56">
        <f t="shared" ref="W5:W32" si="1">SUM(O5:V5)</f>
        <v>8395710</v>
      </c>
      <c r="X5" s="57">
        <f t="shared" ref="X5:X32" si="2">N5-W5</f>
        <v>25183457</v>
      </c>
    </row>
    <row r="6" spans="2:24" ht="23.1" customHeight="1" x14ac:dyDescent="0.3">
      <c r="B6" s="59" t="s">
        <v>15</v>
      </c>
      <c r="C6" s="60" t="s">
        <v>114</v>
      </c>
      <c r="D6" s="60" t="s">
        <v>22</v>
      </c>
      <c r="E6" s="60" t="s">
        <v>86</v>
      </c>
      <c r="F6" s="61">
        <v>0</v>
      </c>
      <c r="G6" s="61">
        <v>0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2">
        <f t="shared" si="0"/>
        <v>0</v>
      </c>
      <c r="O6" s="61">
        <v>0</v>
      </c>
      <c r="P6" s="61">
        <v>0</v>
      </c>
      <c r="Q6" s="61">
        <v>0</v>
      </c>
      <c r="R6" s="61">
        <v>0</v>
      </c>
      <c r="S6" s="61">
        <v>0</v>
      </c>
      <c r="T6" s="61">
        <v>0</v>
      </c>
      <c r="U6" s="61">
        <v>0</v>
      </c>
      <c r="V6" s="61">
        <v>0</v>
      </c>
      <c r="W6" s="63">
        <f t="shared" si="1"/>
        <v>0</v>
      </c>
      <c r="X6" s="64">
        <f t="shared" si="2"/>
        <v>0</v>
      </c>
    </row>
    <row r="7" spans="2:24" ht="23.1" customHeight="1" x14ac:dyDescent="0.3">
      <c r="B7" s="59" t="s">
        <v>2</v>
      </c>
      <c r="C7" s="60" t="s">
        <v>115</v>
      </c>
      <c r="D7" s="60" t="s">
        <v>23</v>
      </c>
      <c r="E7" s="60" t="s">
        <v>86</v>
      </c>
      <c r="F7" s="61">
        <v>6666667</v>
      </c>
      <c r="G7" s="61">
        <v>0</v>
      </c>
      <c r="H7" s="61">
        <v>0</v>
      </c>
      <c r="I7" s="61">
        <v>416667</v>
      </c>
      <c r="J7" s="61">
        <v>0</v>
      </c>
      <c r="K7" s="61">
        <v>0</v>
      </c>
      <c r="L7" s="61">
        <v>0</v>
      </c>
      <c r="M7" s="61">
        <v>0</v>
      </c>
      <c r="N7" s="62">
        <f t="shared" si="0"/>
        <v>7083334</v>
      </c>
      <c r="O7" s="61">
        <v>277650</v>
      </c>
      <c r="P7" s="61">
        <v>222190</v>
      </c>
      <c r="Q7" s="61">
        <v>0</v>
      </c>
      <c r="R7" s="61">
        <v>63750</v>
      </c>
      <c r="S7" s="61">
        <v>28770</v>
      </c>
      <c r="T7" s="61">
        <v>-1463920</v>
      </c>
      <c r="U7" s="61">
        <v>445340</v>
      </c>
      <c r="V7" s="61">
        <v>44530</v>
      </c>
      <c r="W7" s="63">
        <f t="shared" si="1"/>
        <v>-381690</v>
      </c>
      <c r="X7" s="64">
        <f t="shared" si="2"/>
        <v>7465024</v>
      </c>
    </row>
    <row r="8" spans="2:24" ht="23.1" customHeight="1" x14ac:dyDescent="0.3">
      <c r="B8" s="59" t="s">
        <v>3</v>
      </c>
      <c r="C8" s="60" t="s">
        <v>116</v>
      </c>
      <c r="D8" s="60" t="s">
        <v>24</v>
      </c>
      <c r="E8" s="60" t="s">
        <v>84</v>
      </c>
      <c r="F8" s="61">
        <v>3158333</v>
      </c>
      <c r="G8" s="61">
        <v>0</v>
      </c>
      <c r="H8" s="61">
        <v>0</v>
      </c>
      <c r="I8" s="61">
        <v>250000</v>
      </c>
      <c r="J8" s="61">
        <v>0</v>
      </c>
      <c r="K8" s="61">
        <v>0</v>
      </c>
      <c r="L8" s="61">
        <v>0</v>
      </c>
      <c r="M8" s="61">
        <v>0</v>
      </c>
      <c r="N8" s="62">
        <f t="shared" si="0"/>
        <v>3408333</v>
      </c>
      <c r="O8" s="61">
        <v>131170</v>
      </c>
      <c r="P8" s="61">
        <v>104770</v>
      </c>
      <c r="Q8" s="61">
        <v>0</v>
      </c>
      <c r="R8" s="61">
        <v>30670</v>
      </c>
      <c r="S8" s="61">
        <v>13560</v>
      </c>
      <c r="T8" s="61">
        <v>-1060590</v>
      </c>
      <c r="U8" s="61">
        <v>86330</v>
      </c>
      <c r="V8" s="61">
        <v>8630</v>
      </c>
      <c r="W8" s="63">
        <f t="shared" si="1"/>
        <v>-685460</v>
      </c>
      <c r="X8" s="64">
        <f t="shared" si="2"/>
        <v>4093793</v>
      </c>
    </row>
    <row r="9" spans="2:24" ht="23.1" customHeight="1" x14ac:dyDescent="0.3">
      <c r="B9" s="59" t="s">
        <v>4</v>
      </c>
      <c r="C9" s="60" t="s">
        <v>117</v>
      </c>
      <c r="D9" s="60" t="s">
        <v>25</v>
      </c>
      <c r="E9" s="60" t="s">
        <v>84</v>
      </c>
      <c r="F9" s="61">
        <v>5466667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2">
        <f t="shared" si="0"/>
        <v>5466667</v>
      </c>
      <c r="O9" s="61">
        <v>244980</v>
      </c>
      <c r="P9" s="61">
        <v>195680</v>
      </c>
      <c r="Q9" s="61">
        <v>0</v>
      </c>
      <c r="R9" s="61">
        <v>49200</v>
      </c>
      <c r="S9" s="61">
        <v>25340</v>
      </c>
      <c r="T9" s="61">
        <v>-1716350</v>
      </c>
      <c r="U9" s="61">
        <v>399980</v>
      </c>
      <c r="V9" s="61">
        <v>39990</v>
      </c>
      <c r="W9" s="63">
        <f t="shared" si="1"/>
        <v>-761180</v>
      </c>
      <c r="X9" s="64">
        <f t="shared" si="2"/>
        <v>6227847</v>
      </c>
    </row>
    <row r="10" spans="2:24" ht="23.1" customHeight="1" x14ac:dyDescent="0.3">
      <c r="B10" s="59" t="s">
        <v>5</v>
      </c>
      <c r="C10" s="60" t="s">
        <v>118</v>
      </c>
      <c r="D10" s="60" t="s">
        <v>26</v>
      </c>
      <c r="E10" s="60" t="s">
        <v>86</v>
      </c>
      <c r="F10" s="61">
        <v>3441667</v>
      </c>
      <c r="G10" s="61">
        <v>0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2">
        <f t="shared" si="0"/>
        <v>3441667</v>
      </c>
      <c r="O10" s="61">
        <v>123520</v>
      </c>
      <c r="P10" s="61">
        <v>112250</v>
      </c>
      <c r="Q10" s="61">
        <v>0</v>
      </c>
      <c r="R10" s="61">
        <v>30970</v>
      </c>
      <c r="S10" s="61">
        <v>14530</v>
      </c>
      <c r="T10" s="61">
        <v>-1111760</v>
      </c>
      <c r="U10" s="61">
        <v>119880</v>
      </c>
      <c r="V10" s="61">
        <v>11980</v>
      </c>
      <c r="W10" s="63">
        <f t="shared" si="1"/>
        <v>-698630</v>
      </c>
      <c r="X10" s="64">
        <f t="shared" si="2"/>
        <v>4140297</v>
      </c>
    </row>
    <row r="11" spans="2:24" ht="23.1" customHeight="1" x14ac:dyDescent="0.3">
      <c r="B11" s="59" t="s">
        <v>6</v>
      </c>
      <c r="C11" s="60" t="s">
        <v>119</v>
      </c>
      <c r="D11" s="60" t="s">
        <v>27</v>
      </c>
      <c r="E11" s="60" t="s">
        <v>86</v>
      </c>
      <c r="F11" s="61">
        <v>5200000</v>
      </c>
      <c r="G11" s="61">
        <v>0</v>
      </c>
      <c r="H11" s="61">
        <v>0</v>
      </c>
      <c r="I11" s="61">
        <v>158333</v>
      </c>
      <c r="J11" s="61">
        <v>0</v>
      </c>
      <c r="K11" s="61">
        <v>0</v>
      </c>
      <c r="L11" s="61">
        <v>0</v>
      </c>
      <c r="M11" s="61">
        <v>0</v>
      </c>
      <c r="N11" s="62">
        <f t="shared" si="0"/>
        <v>5358333</v>
      </c>
      <c r="O11" s="61">
        <v>242410</v>
      </c>
      <c r="P11" s="61">
        <v>193630</v>
      </c>
      <c r="Q11" s="61">
        <v>0</v>
      </c>
      <c r="R11" s="61">
        <v>48220</v>
      </c>
      <c r="S11" s="61">
        <v>25070</v>
      </c>
      <c r="T11" s="61">
        <v>-807670</v>
      </c>
      <c r="U11" s="61">
        <v>363520</v>
      </c>
      <c r="V11" s="61">
        <v>36350</v>
      </c>
      <c r="W11" s="63">
        <f t="shared" si="1"/>
        <v>101530</v>
      </c>
      <c r="X11" s="64">
        <f t="shared" si="2"/>
        <v>5256803</v>
      </c>
    </row>
    <row r="12" spans="2:24" ht="23.1" customHeight="1" x14ac:dyDescent="0.3">
      <c r="B12" s="59" t="s">
        <v>7</v>
      </c>
      <c r="C12" s="60" t="s">
        <v>120</v>
      </c>
      <c r="D12" s="60" t="s">
        <v>28</v>
      </c>
      <c r="E12" s="60" t="s">
        <v>84</v>
      </c>
      <c r="F12" s="61">
        <v>4041667</v>
      </c>
      <c r="G12" s="61">
        <v>0</v>
      </c>
      <c r="H12" s="61">
        <v>0</v>
      </c>
      <c r="I12" s="61">
        <v>416667</v>
      </c>
      <c r="J12" s="61">
        <v>0</v>
      </c>
      <c r="K12" s="61">
        <v>0</v>
      </c>
      <c r="L12" s="61">
        <v>0</v>
      </c>
      <c r="M12" s="61">
        <v>0</v>
      </c>
      <c r="N12" s="62">
        <f t="shared" si="0"/>
        <v>4458334</v>
      </c>
      <c r="O12" s="61">
        <v>170190</v>
      </c>
      <c r="P12" s="61">
        <v>135960</v>
      </c>
      <c r="Q12" s="61">
        <v>0</v>
      </c>
      <c r="R12" s="61">
        <v>40120</v>
      </c>
      <c r="S12" s="61">
        <v>17600</v>
      </c>
      <c r="T12" s="61">
        <v>-2520700</v>
      </c>
      <c r="U12" s="61">
        <v>201300</v>
      </c>
      <c r="V12" s="61">
        <v>20130</v>
      </c>
      <c r="W12" s="63">
        <f t="shared" si="1"/>
        <v>-1935400</v>
      </c>
      <c r="X12" s="64">
        <f t="shared" si="2"/>
        <v>6393734</v>
      </c>
    </row>
    <row r="13" spans="2:24" ht="23.1" customHeight="1" x14ac:dyDescent="0.3">
      <c r="B13" s="59" t="s">
        <v>8</v>
      </c>
      <c r="C13" s="60" t="s">
        <v>121</v>
      </c>
      <c r="D13" s="60" t="s">
        <v>29</v>
      </c>
      <c r="E13" s="60" t="s">
        <v>85</v>
      </c>
      <c r="F13" s="61">
        <v>7589286</v>
      </c>
      <c r="G13" s="61">
        <v>0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2">
        <f t="shared" si="0"/>
        <v>7589286</v>
      </c>
      <c r="O13" s="61">
        <v>277650</v>
      </c>
      <c r="P13" s="61">
        <v>513070</v>
      </c>
      <c r="Q13" s="61">
        <v>0</v>
      </c>
      <c r="R13" s="61">
        <v>68300</v>
      </c>
      <c r="S13" s="61">
        <v>66440</v>
      </c>
      <c r="T13" s="61">
        <v>1598170</v>
      </c>
      <c r="U13" s="61">
        <v>0</v>
      </c>
      <c r="V13" s="61">
        <v>0</v>
      </c>
      <c r="W13" s="63">
        <f t="shared" si="1"/>
        <v>2523630</v>
      </c>
      <c r="X13" s="64">
        <f t="shared" si="2"/>
        <v>5065656</v>
      </c>
    </row>
    <row r="14" spans="2:24" ht="23.1" customHeight="1" x14ac:dyDescent="0.3">
      <c r="B14" s="59" t="s">
        <v>9</v>
      </c>
      <c r="C14" s="60" t="s">
        <v>122</v>
      </c>
      <c r="D14" s="60" t="s">
        <v>30</v>
      </c>
      <c r="E14" s="60" t="s">
        <v>87</v>
      </c>
      <c r="F14" s="61">
        <v>4025000</v>
      </c>
      <c r="G14" s="61">
        <v>0</v>
      </c>
      <c r="H14" s="61">
        <v>0</v>
      </c>
      <c r="I14" s="61">
        <v>175000</v>
      </c>
      <c r="J14" s="61">
        <v>0</v>
      </c>
      <c r="K14" s="61">
        <v>0</v>
      </c>
      <c r="L14" s="61">
        <v>0</v>
      </c>
      <c r="M14" s="61">
        <v>0</v>
      </c>
      <c r="N14" s="62">
        <f t="shared" si="0"/>
        <v>4200000</v>
      </c>
      <c r="O14" s="61">
        <v>180940</v>
      </c>
      <c r="P14" s="61">
        <v>144550</v>
      </c>
      <c r="Q14" s="61">
        <v>0</v>
      </c>
      <c r="R14" s="61">
        <v>37800</v>
      </c>
      <c r="S14" s="61">
        <v>18720</v>
      </c>
      <c r="T14" s="61">
        <v>-155680</v>
      </c>
      <c r="U14" s="61">
        <v>198630</v>
      </c>
      <c r="V14" s="61">
        <v>19860</v>
      </c>
      <c r="W14" s="63">
        <f t="shared" si="1"/>
        <v>444820</v>
      </c>
      <c r="X14" s="64">
        <f t="shared" si="2"/>
        <v>3755180</v>
      </c>
    </row>
    <row r="15" spans="2:24" ht="23.1" customHeight="1" x14ac:dyDescent="0.3">
      <c r="B15" s="59" t="s">
        <v>10</v>
      </c>
      <c r="C15" s="60" t="s">
        <v>123</v>
      </c>
      <c r="D15" s="60" t="s">
        <v>31</v>
      </c>
      <c r="E15" s="60" t="s">
        <v>86</v>
      </c>
      <c r="F15" s="61">
        <v>10333333</v>
      </c>
      <c r="G15" s="61">
        <v>0</v>
      </c>
      <c r="H15" s="61">
        <v>0</v>
      </c>
      <c r="I15" s="61">
        <v>333333</v>
      </c>
      <c r="J15" s="61">
        <v>0</v>
      </c>
      <c r="K15" s="61">
        <v>0</v>
      </c>
      <c r="L15" s="61">
        <v>0</v>
      </c>
      <c r="M15" s="61">
        <v>0</v>
      </c>
      <c r="N15" s="62">
        <f t="shared" si="0"/>
        <v>10666666</v>
      </c>
      <c r="O15" s="61">
        <v>277650</v>
      </c>
      <c r="P15" s="61">
        <v>390540</v>
      </c>
      <c r="Q15" s="61">
        <v>0</v>
      </c>
      <c r="R15" s="61">
        <v>95990</v>
      </c>
      <c r="S15" s="61">
        <v>50570</v>
      </c>
      <c r="T15" s="61">
        <v>-3835870</v>
      </c>
      <c r="U15" s="61">
        <v>1646730</v>
      </c>
      <c r="V15" s="61">
        <v>164670</v>
      </c>
      <c r="W15" s="63">
        <f t="shared" si="1"/>
        <v>-1209720</v>
      </c>
      <c r="X15" s="64">
        <f t="shared" si="2"/>
        <v>11876386</v>
      </c>
    </row>
    <row r="16" spans="2:24" ht="23.1" customHeight="1" x14ac:dyDescent="0.3">
      <c r="B16" s="66">
        <v>41699</v>
      </c>
      <c r="C16" s="60" t="s">
        <v>124</v>
      </c>
      <c r="D16" s="60" t="s">
        <v>32</v>
      </c>
      <c r="E16" s="60" t="s">
        <v>86</v>
      </c>
      <c r="F16" s="61">
        <v>6083333</v>
      </c>
      <c r="G16" s="61">
        <v>0</v>
      </c>
      <c r="H16" s="61">
        <v>0</v>
      </c>
      <c r="I16" s="61">
        <v>366666</v>
      </c>
      <c r="J16" s="61">
        <v>0</v>
      </c>
      <c r="K16" s="61">
        <v>0</v>
      </c>
      <c r="L16" s="61">
        <v>0</v>
      </c>
      <c r="M16" s="61">
        <v>0</v>
      </c>
      <c r="N16" s="62">
        <f t="shared" si="0"/>
        <v>6449999</v>
      </c>
      <c r="O16" s="61">
        <v>271530</v>
      </c>
      <c r="P16" s="61">
        <v>216910</v>
      </c>
      <c r="Q16" s="61">
        <v>0</v>
      </c>
      <c r="R16" s="61">
        <v>58040</v>
      </c>
      <c r="S16" s="61">
        <v>28090</v>
      </c>
      <c r="T16" s="61">
        <v>-1846190</v>
      </c>
      <c r="U16" s="61">
        <v>477340</v>
      </c>
      <c r="V16" s="61">
        <v>47730</v>
      </c>
      <c r="W16" s="63">
        <f t="shared" si="1"/>
        <v>-746550</v>
      </c>
      <c r="X16" s="64">
        <f t="shared" si="2"/>
        <v>7196549</v>
      </c>
    </row>
    <row r="17" spans="2:24" ht="23.1" customHeight="1" x14ac:dyDescent="0.3">
      <c r="B17" s="59" t="s">
        <v>11</v>
      </c>
      <c r="C17" s="60" t="s">
        <v>125</v>
      </c>
      <c r="D17" s="60" t="s">
        <v>33</v>
      </c>
      <c r="E17" s="60" t="s">
        <v>87</v>
      </c>
      <c r="F17" s="61">
        <v>3766667</v>
      </c>
      <c r="G17" s="61">
        <v>0</v>
      </c>
      <c r="H17" s="61">
        <v>0</v>
      </c>
      <c r="I17" s="61">
        <v>175000</v>
      </c>
      <c r="J17" s="61">
        <v>0</v>
      </c>
      <c r="K17" s="61">
        <v>0</v>
      </c>
      <c r="L17" s="61">
        <v>0</v>
      </c>
      <c r="M17" s="61">
        <v>0</v>
      </c>
      <c r="N17" s="62">
        <f t="shared" si="0"/>
        <v>3941667</v>
      </c>
      <c r="O17" s="61">
        <v>167980</v>
      </c>
      <c r="P17" s="61">
        <v>134200</v>
      </c>
      <c r="Q17" s="61">
        <v>0</v>
      </c>
      <c r="R17" s="61">
        <v>35470</v>
      </c>
      <c r="S17" s="61">
        <v>17370</v>
      </c>
      <c r="T17" s="61">
        <v>-773020</v>
      </c>
      <c r="U17" s="61">
        <v>163920</v>
      </c>
      <c r="V17" s="61">
        <v>16390</v>
      </c>
      <c r="W17" s="63">
        <f t="shared" si="1"/>
        <v>-237690</v>
      </c>
      <c r="X17" s="64">
        <f t="shared" si="2"/>
        <v>4179357</v>
      </c>
    </row>
    <row r="18" spans="2:24" ht="23.1" customHeight="1" x14ac:dyDescent="0.3">
      <c r="B18" s="59" t="s">
        <v>12</v>
      </c>
      <c r="C18" s="60" t="s">
        <v>126</v>
      </c>
      <c r="D18" s="60" t="s">
        <v>34</v>
      </c>
      <c r="E18" s="60" t="s">
        <v>87</v>
      </c>
      <c r="F18" s="61">
        <v>4800000</v>
      </c>
      <c r="G18" s="61">
        <v>0</v>
      </c>
      <c r="H18" s="61">
        <v>50000</v>
      </c>
      <c r="I18" s="61">
        <v>0</v>
      </c>
      <c r="J18" s="61">
        <v>0</v>
      </c>
      <c r="K18" s="61">
        <v>0</v>
      </c>
      <c r="L18" s="61">
        <v>0</v>
      </c>
      <c r="M18" s="61">
        <v>0</v>
      </c>
      <c r="N18" s="62">
        <f t="shared" si="0"/>
        <v>4850000</v>
      </c>
      <c r="O18" s="61">
        <v>215050</v>
      </c>
      <c r="P18" s="61">
        <v>171800</v>
      </c>
      <c r="Q18" s="61">
        <v>0</v>
      </c>
      <c r="R18" s="61">
        <v>43650</v>
      </c>
      <c r="S18" s="61">
        <v>22240</v>
      </c>
      <c r="T18" s="61">
        <v>-972050</v>
      </c>
      <c r="U18" s="61">
        <v>313030</v>
      </c>
      <c r="V18" s="61">
        <v>31300</v>
      </c>
      <c r="W18" s="63">
        <f t="shared" si="1"/>
        <v>-174980</v>
      </c>
      <c r="X18" s="64">
        <f t="shared" si="2"/>
        <v>5024980</v>
      </c>
    </row>
    <row r="19" spans="2:24" ht="23.1" customHeight="1" x14ac:dyDescent="0.3">
      <c r="B19" s="59" t="s">
        <v>13</v>
      </c>
      <c r="C19" s="60" t="s">
        <v>127</v>
      </c>
      <c r="D19" s="60" t="s">
        <v>35</v>
      </c>
      <c r="E19" s="60" t="s">
        <v>87</v>
      </c>
      <c r="F19" s="61">
        <v>0</v>
      </c>
      <c r="G19" s="61">
        <v>0</v>
      </c>
      <c r="H19" s="61">
        <v>0</v>
      </c>
      <c r="I19" s="61">
        <v>0</v>
      </c>
      <c r="J19" s="61">
        <v>0</v>
      </c>
      <c r="K19" s="61">
        <v>0</v>
      </c>
      <c r="L19" s="61">
        <v>0</v>
      </c>
      <c r="M19" s="61">
        <v>0</v>
      </c>
      <c r="N19" s="62">
        <f t="shared" si="0"/>
        <v>0</v>
      </c>
      <c r="O19" s="61">
        <v>0</v>
      </c>
      <c r="P19" s="61">
        <v>0</v>
      </c>
      <c r="Q19" s="61">
        <v>0</v>
      </c>
      <c r="R19" s="61">
        <v>0</v>
      </c>
      <c r="S19" s="61">
        <v>0</v>
      </c>
      <c r="T19" s="61">
        <v>-1716850</v>
      </c>
      <c r="U19" s="61">
        <v>0</v>
      </c>
      <c r="V19" s="61">
        <v>0</v>
      </c>
      <c r="W19" s="63">
        <f t="shared" si="1"/>
        <v>-1716850</v>
      </c>
      <c r="X19" s="64">
        <f t="shared" si="2"/>
        <v>1716850</v>
      </c>
    </row>
    <row r="20" spans="2:24" ht="23.1" customHeight="1" x14ac:dyDescent="0.3">
      <c r="B20" s="59" t="s">
        <v>14</v>
      </c>
      <c r="C20" s="60" t="s">
        <v>128</v>
      </c>
      <c r="D20" s="60" t="s">
        <v>36</v>
      </c>
      <c r="E20" s="60" t="s">
        <v>87</v>
      </c>
      <c r="F20" s="61">
        <v>3441667</v>
      </c>
      <c r="G20" s="61">
        <v>0</v>
      </c>
      <c r="H20" s="61">
        <v>0</v>
      </c>
      <c r="I20" s="61">
        <v>191667</v>
      </c>
      <c r="J20" s="61">
        <v>0</v>
      </c>
      <c r="K20" s="61">
        <v>0</v>
      </c>
      <c r="L20" s="61">
        <v>0</v>
      </c>
      <c r="M20" s="61">
        <v>0</v>
      </c>
      <c r="N20" s="62">
        <f t="shared" si="0"/>
        <v>3633334</v>
      </c>
      <c r="O20" s="61">
        <v>150930</v>
      </c>
      <c r="P20" s="61">
        <v>120570</v>
      </c>
      <c r="Q20" s="61">
        <v>0</v>
      </c>
      <c r="R20" s="61">
        <v>32700</v>
      </c>
      <c r="S20" s="61">
        <v>15610</v>
      </c>
      <c r="T20" s="61">
        <v>-182470</v>
      </c>
      <c r="U20" s="61">
        <v>119880</v>
      </c>
      <c r="V20" s="61">
        <v>11980</v>
      </c>
      <c r="W20" s="63">
        <f t="shared" si="1"/>
        <v>269200</v>
      </c>
      <c r="X20" s="64">
        <f t="shared" si="2"/>
        <v>3364134</v>
      </c>
    </row>
    <row r="21" spans="2:24" ht="23.1" customHeight="1" x14ac:dyDescent="0.3">
      <c r="B21" s="67" t="s">
        <v>16</v>
      </c>
      <c r="C21" s="68" t="s">
        <v>129</v>
      </c>
      <c r="D21" s="68" t="s">
        <v>37</v>
      </c>
      <c r="E21" s="68" t="s">
        <v>86</v>
      </c>
      <c r="F21" s="69">
        <v>3575000</v>
      </c>
      <c r="G21" s="69">
        <v>0</v>
      </c>
      <c r="H21" s="69">
        <v>0</v>
      </c>
      <c r="I21" s="69">
        <v>0</v>
      </c>
      <c r="J21" s="69">
        <v>0</v>
      </c>
      <c r="K21" s="69">
        <v>0</v>
      </c>
      <c r="L21" s="69">
        <v>0</v>
      </c>
      <c r="M21" s="69">
        <v>0</v>
      </c>
      <c r="N21" s="70">
        <f t="shared" si="0"/>
        <v>3575000</v>
      </c>
      <c r="O21" s="61">
        <v>155340</v>
      </c>
      <c r="P21" s="61">
        <v>124090</v>
      </c>
      <c r="Q21" s="61">
        <v>0</v>
      </c>
      <c r="R21" s="61">
        <v>32170</v>
      </c>
      <c r="S21" s="61">
        <v>16070</v>
      </c>
      <c r="T21" s="61">
        <v>-629660</v>
      </c>
      <c r="U21" s="61">
        <v>134550</v>
      </c>
      <c r="V21" s="61">
        <v>13450</v>
      </c>
      <c r="W21" s="71">
        <f t="shared" si="1"/>
        <v>-153990</v>
      </c>
      <c r="X21" s="72">
        <f t="shared" si="2"/>
        <v>3728990</v>
      </c>
    </row>
    <row r="22" spans="2:24" ht="23.1" customHeight="1" x14ac:dyDescent="0.3">
      <c r="B22" s="73">
        <v>44879</v>
      </c>
      <c r="C22" s="74" t="s">
        <v>130</v>
      </c>
      <c r="D22" s="74" t="s">
        <v>38</v>
      </c>
      <c r="E22" s="74" t="s">
        <v>86</v>
      </c>
      <c r="F22" s="69">
        <v>4791667</v>
      </c>
      <c r="G22" s="69">
        <v>0</v>
      </c>
      <c r="H22" s="69">
        <v>0</v>
      </c>
      <c r="I22" s="69">
        <v>0</v>
      </c>
      <c r="J22" s="69">
        <v>0</v>
      </c>
      <c r="K22" s="69">
        <v>0</v>
      </c>
      <c r="L22" s="69">
        <v>0</v>
      </c>
      <c r="M22" s="69">
        <v>0</v>
      </c>
      <c r="N22" s="75">
        <f t="shared" si="0"/>
        <v>4791667</v>
      </c>
      <c r="O22" s="61">
        <v>193410</v>
      </c>
      <c r="P22" s="61">
        <v>154500</v>
      </c>
      <c r="Q22" s="61">
        <v>0</v>
      </c>
      <c r="R22" s="61">
        <v>43120</v>
      </c>
      <c r="S22" s="61">
        <v>20000</v>
      </c>
      <c r="T22" s="61">
        <v>-2038760</v>
      </c>
      <c r="U22" s="61">
        <v>304610</v>
      </c>
      <c r="V22" s="61">
        <v>30460</v>
      </c>
      <c r="W22" s="71">
        <f t="shared" si="1"/>
        <v>-1292660</v>
      </c>
      <c r="X22" s="72">
        <f t="shared" si="2"/>
        <v>6084327</v>
      </c>
    </row>
    <row r="23" spans="2:24" ht="23.1" customHeight="1" x14ac:dyDescent="0.3">
      <c r="B23" s="73">
        <v>44923</v>
      </c>
      <c r="C23" s="74" t="s">
        <v>131</v>
      </c>
      <c r="D23" s="74" t="s">
        <v>39</v>
      </c>
      <c r="E23" s="74" t="s">
        <v>86</v>
      </c>
      <c r="F23" s="69">
        <v>4041667</v>
      </c>
      <c r="G23" s="69">
        <v>0</v>
      </c>
      <c r="H23" s="69">
        <v>0</v>
      </c>
      <c r="I23" s="69">
        <v>708334</v>
      </c>
      <c r="J23" s="69">
        <v>0</v>
      </c>
      <c r="K23" s="69">
        <v>0</v>
      </c>
      <c r="L23" s="69">
        <v>0</v>
      </c>
      <c r="M23" s="69">
        <v>0</v>
      </c>
      <c r="N23" s="75">
        <f t="shared" si="0"/>
        <v>4750001</v>
      </c>
      <c r="O23" s="61">
        <v>141250</v>
      </c>
      <c r="P23" s="61">
        <v>112840</v>
      </c>
      <c r="Q23" s="61">
        <v>0</v>
      </c>
      <c r="R23" s="61">
        <v>42750</v>
      </c>
      <c r="S23" s="61">
        <v>14610</v>
      </c>
      <c r="T23" s="61">
        <v>-1696620</v>
      </c>
      <c r="U23" s="61">
        <v>201300</v>
      </c>
      <c r="V23" s="61">
        <v>20130</v>
      </c>
      <c r="W23" s="69">
        <f t="shared" si="1"/>
        <v>-1163740</v>
      </c>
      <c r="X23" s="72">
        <f t="shared" si="2"/>
        <v>5913741</v>
      </c>
    </row>
    <row r="24" spans="2:24" ht="23.1" customHeight="1" x14ac:dyDescent="0.3">
      <c r="B24" s="73">
        <v>45034</v>
      </c>
      <c r="C24" s="74" t="s">
        <v>132</v>
      </c>
      <c r="D24" s="74" t="s">
        <v>40</v>
      </c>
      <c r="E24" s="74" t="s">
        <v>87</v>
      </c>
      <c r="F24" s="69">
        <v>2983333</v>
      </c>
      <c r="G24" s="69">
        <v>0</v>
      </c>
      <c r="H24" s="69">
        <v>0</v>
      </c>
      <c r="I24" s="69">
        <v>0</v>
      </c>
      <c r="J24" s="69">
        <v>0</v>
      </c>
      <c r="K24" s="69">
        <v>0</v>
      </c>
      <c r="L24" s="69">
        <v>0</v>
      </c>
      <c r="M24" s="69">
        <v>0</v>
      </c>
      <c r="N24" s="75">
        <f t="shared" si="0"/>
        <v>2983333</v>
      </c>
      <c r="O24" s="69">
        <v>117130</v>
      </c>
      <c r="P24" s="69">
        <v>88170</v>
      </c>
      <c r="Q24" s="69">
        <v>0</v>
      </c>
      <c r="R24" s="69">
        <v>26840</v>
      </c>
      <c r="S24" s="69">
        <v>11410</v>
      </c>
      <c r="T24" s="69">
        <v>-368020</v>
      </c>
      <c r="U24" s="69">
        <v>72210</v>
      </c>
      <c r="V24" s="69">
        <v>7220</v>
      </c>
      <c r="W24" s="69">
        <f t="shared" si="1"/>
        <v>-45040</v>
      </c>
      <c r="X24" s="72">
        <f t="shared" si="2"/>
        <v>3028373</v>
      </c>
    </row>
    <row r="25" spans="2:24" ht="23.1" customHeight="1" x14ac:dyDescent="0.3">
      <c r="B25" s="73">
        <v>45212</v>
      </c>
      <c r="C25" s="74" t="s">
        <v>133</v>
      </c>
      <c r="D25" s="74" t="s">
        <v>41</v>
      </c>
      <c r="E25" s="74" t="s">
        <v>87</v>
      </c>
      <c r="F25" s="69">
        <v>2683333</v>
      </c>
      <c r="G25" s="69">
        <v>0</v>
      </c>
      <c r="H25" s="69">
        <v>0</v>
      </c>
      <c r="I25" s="69">
        <v>225000</v>
      </c>
      <c r="J25" s="69">
        <v>0</v>
      </c>
      <c r="K25" s="69">
        <v>0</v>
      </c>
      <c r="L25" s="69">
        <v>0</v>
      </c>
      <c r="M25" s="69">
        <v>0</v>
      </c>
      <c r="N25" s="75">
        <f t="shared" si="0"/>
        <v>2908333</v>
      </c>
      <c r="O25" s="69">
        <v>101020</v>
      </c>
      <c r="P25" s="69">
        <v>70750</v>
      </c>
      <c r="Q25" s="69">
        <v>0</v>
      </c>
      <c r="R25" s="69">
        <v>26170</v>
      </c>
      <c r="S25" s="69">
        <v>9160</v>
      </c>
      <c r="T25" s="69">
        <v>-328660</v>
      </c>
      <c r="U25" s="69">
        <v>46540</v>
      </c>
      <c r="V25" s="69">
        <v>4650</v>
      </c>
      <c r="W25" s="69">
        <f t="shared" si="1"/>
        <v>-70370</v>
      </c>
      <c r="X25" s="72">
        <f t="shared" si="2"/>
        <v>2978703</v>
      </c>
    </row>
    <row r="26" spans="2:24" ht="23.1" customHeight="1" x14ac:dyDescent="0.3">
      <c r="B26" s="66">
        <v>45366</v>
      </c>
      <c r="C26" s="76" t="s">
        <v>134</v>
      </c>
      <c r="D26" s="76" t="s">
        <v>42</v>
      </c>
      <c r="E26" s="76" t="s">
        <v>86</v>
      </c>
      <c r="F26" s="61">
        <v>3166667</v>
      </c>
      <c r="G26" s="61">
        <v>0</v>
      </c>
      <c r="H26" s="61">
        <v>0</v>
      </c>
      <c r="I26" s="61">
        <v>250000</v>
      </c>
      <c r="J26" s="61">
        <v>0</v>
      </c>
      <c r="K26" s="61">
        <v>0</v>
      </c>
      <c r="L26" s="61">
        <v>0</v>
      </c>
      <c r="M26" s="61">
        <v>0</v>
      </c>
      <c r="N26" s="75">
        <f t="shared" si="0"/>
        <v>3416667</v>
      </c>
      <c r="O26" s="61">
        <v>119970</v>
      </c>
      <c r="P26" s="61">
        <v>94530</v>
      </c>
      <c r="Q26" s="61">
        <v>0</v>
      </c>
      <c r="R26" s="61">
        <v>30750</v>
      </c>
      <c r="S26" s="61">
        <v>12240</v>
      </c>
      <c r="T26" s="61">
        <v>-443700</v>
      </c>
      <c r="U26" s="61">
        <v>11490</v>
      </c>
      <c r="V26" s="61">
        <v>1140</v>
      </c>
      <c r="W26" s="69">
        <f t="shared" si="1"/>
        <v>-173580</v>
      </c>
      <c r="X26" s="72">
        <f t="shared" si="2"/>
        <v>3590247</v>
      </c>
    </row>
    <row r="27" spans="2:24" ht="23.1" customHeight="1" x14ac:dyDescent="0.3">
      <c r="B27" s="73">
        <v>45366</v>
      </c>
      <c r="C27" s="74" t="s">
        <v>135</v>
      </c>
      <c r="D27" s="74" t="s">
        <v>43</v>
      </c>
      <c r="E27" s="74" t="s">
        <v>86</v>
      </c>
      <c r="F27" s="69">
        <v>3166667</v>
      </c>
      <c r="G27" s="69">
        <v>0</v>
      </c>
      <c r="H27" s="69">
        <v>0</v>
      </c>
      <c r="I27" s="69">
        <v>250000</v>
      </c>
      <c r="J27" s="69">
        <v>0</v>
      </c>
      <c r="K27" s="69">
        <v>0</v>
      </c>
      <c r="L27" s="69">
        <v>0</v>
      </c>
      <c r="M27" s="69">
        <v>0</v>
      </c>
      <c r="N27" s="75">
        <f t="shared" si="0"/>
        <v>3416667</v>
      </c>
      <c r="O27" s="69">
        <v>119970</v>
      </c>
      <c r="P27" s="69">
        <v>94530</v>
      </c>
      <c r="Q27" s="69">
        <v>0</v>
      </c>
      <c r="R27" s="69">
        <v>30750</v>
      </c>
      <c r="S27" s="69">
        <v>12240</v>
      </c>
      <c r="T27" s="69">
        <v>-443700</v>
      </c>
      <c r="U27" s="69">
        <v>88040</v>
      </c>
      <c r="V27" s="69">
        <v>8800</v>
      </c>
      <c r="W27" s="69">
        <f t="shared" si="1"/>
        <v>-89370</v>
      </c>
      <c r="X27" s="72">
        <f t="shared" si="2"/>
        <v>3506037</v>
      </c>
    </row>
    <row r="28" spans="2:24" ht="23.1" customHeight="1" x14ac:dyDescent="0.3">
      <c r="B28" s="66">
        <v>45554</v>
      </c>
      <c r="C28" s="60" t="s">
        <v>17</v>
      </c>
      <c r="D28" s="60" t="s">
        <v>44</v>
      </c>
      <c r="E28" s="60" t="s">
        <v>87</v>
      </c>
      <c r="F28" s="61">
        <v>2583333</v>
      </c>
      <c r="G28" s="61">
        <v>0</v>
      </c>
      <c r="H28" s="61">
        <v>0</v>
      </c>
      <c r="I28" s="61">
        <v>166666</v>
      </c>
      <c r="J28" s="61">
        <v>0</v>
      </c>
      <c r="K28" s="61">
        <v>0</v>
      </c>
      <c r="L28" s="61">
        <v>64895</v>
      </c>
      <c r="M28" s="61">
        <v>0</v>
      </c>
      <c r="N28" s="77">
        <f t="shared" si="0"/>
        <v>2814894</v>
      </c>
      <c r="O28" s="61">
        <v>108720</v>
      </c>
      <c r="P28" s="61">
        <v>85670</v>
      </c>
      <c r="Q28" s="61">
        <v>0</v>
      </c>
      <c r="R28" s="61">
        <v>25330</v>
      </c>
      <c r="S28" s="61">
        <v>11090</v>
      </c>
      <c r="T28" s="61">
        <v>-107910</v>
      </c>
      <c r="U28" s="61">
        <v>38340</v>
      </c>
      <c r="V28" s="61">
        <v>3830</v>
      </c>
      <c r="W28" s="61">
        <f t="shared" si="1"/>
        <v>165070</v>
      </c>
      <c r="X28" s="64">
        <f t="shared" si="2"/>
        <v>2649824</v>
      </c>
    </row>
    <row r="29" spans="2:24" ht="23.1" customHeight="1" x14ac:dyDescent="0.3">
      <c r="B29" s="66">
        <v>45593</v>
      </c>
      <c r="C29" s="60" t="s">
        <v>18</v>
      </c>
      <c r="D29" s="60" t="s">
        <v>45</v>
      </c>
      <c r="E29" s="60" t="s">
        <v>87</v>
      </c>
      <c r="F29" s="61">
        <v>2541667</v>
      </c>
      <c r="G29" s="61">
        <v>0</v>
      </c>
      <c r="H29" s="61">
        <v>0</v>
      </c>
      <c r="I29" s="61">
        <v>125000</v>
      </c>
      <c r="J29" s="61">
        <v>0</v>
      </c>
      <c r="K29" s="61">
        <v>0</v>
      </c>
      <c r="L29" s="61">
        <v>27365</v>
      </c>
      <c r="M29" s="61">
        <v>0</v>
      </c>
      <c r="N29" s="77">
        <f t="shared" si="0"/>
        <v>2694032</v>
      </c>
      <c r="O29" s="61">
        <v>108720</v>
      </c>
      <c r="P29" s="61">
        <v>85670</v>
      </c>
      <c r="Q29" s="61">
        <v>0</v>
      </c>
      <c r="R29" s="61">
        <v>24240</v>
      </c>
      <c r="S29" s="61">
        <v>11090</v>
      </c>
      <c r="T29" s="61">
        <v>-71940</v>
      </c>
      <c r="U29" s="61">
        <v>36970</v>
      </c>
      <c r="V29" s="61">
        <v>3690</v>
      </c>
      <c r="W29" s="61">
        <f t="shared" si="1"/>
        <v>198440</v>
      </c>
      <c r="X29" s="64">
        <f t="shared" si="2"/>
        <v>2495592</v>
      </c>
    </row>
    <row r="30" spans="2:24" ht="23.1" customHeight="1" x14ac:dyDescent="0.3">
      <c r="B30" s="66">
        <v>45627</v>
      </c>
      <c r="C30" s="60" t="s">
        <v>19</v>
      </c>
      <c r="D30" s="60" t="s">
        <v>46</v>
      </c>
      <c r="E30" s="60" t="s">
        <v>86</v>
      </c>
      <c r="F30" s="61">
        <v>3083333</v>
      </c>
      <c r="G30" s="61">
        <v>0</v>
      </c>
      <c r="H30" s="61">
        <v>0</v>
      </c>
      <c r="I30" s="61">
        <v>0</v>
      </c>
      <c r="J30" s="61">
        <v>0</v>
      </c>
      <c r="K30" s="61">
        <v>0</v>
      </c>
      <c r="L30" s="61">
        <v>0</v>
      </c>
      <c r="M30" s="61">
        <v>0</v>
      </c>
      <c r="N30" s="77">
        <f t="shared" si="0"/>
        <v>3083333</v>
      </c>
      <c r="O30" s="61">
        <v>138730</v>
      </c>
      <c r="P30" s="61">
        <v>109300</v>
      </c>
      <c r="Q30" s="61">
        <v>0</v>
      </c>
      <c r="R30" s="61">
        <v>27740</v>
      </c>
      <c r="S30" s="61">
        <v>14150</v>
      </c>
      <c r="T30" s="61">
        <v>-52640</v>
      </c>
      <c r="U30" s="61">
        <v>81190</v>
      </c>
      <c r="V30" s="61">
        <v>8110</v>
      </c>
      <c r="W30" s="61">
        <f t="shared" si="1"/>
        <v>326580</v>
      </c>
      <c r="X30" s="64">
        <f t="shared" si="2"/>
        <v>2756753</v>
      </c>
    </row>
    <row r="31" spans="2:24" ht="23.1" customHeight="1" x14ac:dyDescent="0.3">
      <c r="B31" s="66">
        <v>45656</v>
      </c>
      <c r="C31" s="60" t="s">
        <v>20</v>
      </c>
      <c r="D31" s="60" t="s">
        <v>47</v>
      </c>
      <c r="E31" s="60" t="s">
        <v>84</v>
      </c>
      <c r="F31" s="61">
        <v>3083333</v>
      </c>
      <c r="G31" s="61">
        <v>0</v>
      </c>
      <c r="H31" s="61">
        <v>0</v>
      </c>
      <c r="I31" s="61">
        <v>0</v>
      </c>
      <c r="J31" s="61">
        <v>0</v>
      </c>
      <c r="K31" s="61">
        <v>0</v>
      </c>
      <c r="L31" s="61">
        <v>0</v>
      </c>
      <c r="M31" s="61">
        <v>0</v>
      </c>
      <c r="N31" s="77">
        <f t="shared" si="0"/>
        <v>3083333</v>
      </c>
      <c r="O31" s="61">
        <v>138730</v>
      </c>
      <c r="P31" s="61">
        <v>109300</v>
      </c>
      <c r="Q31" s="61">
        <v>0</v>
      </c>
      <c r="R31" s="61">
        <v>27740</v>
      </c>
      <c r="S31" s="61">
        <v>14150</v>
      </c>
      <c r="T31" s="61">
        <v>0</v>
      </c>
      <c r="U31" s="61">
        <v>81190</v>
      </c>
      <c r="V31" s="61">
        <v>8110</v>
      </c>
      <c r="W31" s="61">
        <f t="shared" si="1"/>
        <v>379220</v>
      </c>
      <c r="X31" s="64">
        <f t="shared" si="2"/>
        <v>2704113</v>
      </c>
    </row>
    <row r="32" spans="2:24" ht="23.1" customHeight="1" thickBot="1" x14ac:dyDescent="0.35">
      <c r="B32" s="78">
        <v>45665</v>
      </c>
      <c r="C32" s="102" t="s">
        <v>21</v>
      </c>
      <c r="D32" s="102" t="s">
        <v>48</v>
      </c>
      <c r="E32" s="102" t="s">
        <v>86</v>
      </c>
      <c r="F32" s="79">
        <v>1458333</v>
      </c>
      <c r="G32" s="79">
        <v>0</v>
      </c>
      <c r="H32" s="79">
        <v>0</v>
      </c>
      <c r="I32" s="79">
        <v>0</v>
      </c>
      <c r="J32" s="79">
        <v>0</v>
      </c>
      <c r="K32" s="79">
        <v>111643</v>
      </c>
      <c r="L32" s="79">
        <v>0</v>
      </c>
      <c r="M32" s="79">
        <v>1458333</v>
      </c>
      <c r="N32" s="80">
        <f t="shared" si="0"/>
        <v>3028309</v>
      </c>
      <c r="O32" s="79">
        <v>131250</v>
      </c>
      <c r="P32" s="79">
        <v>103390</v>
      </c>
      <c r="Q32" s="79">
        <v>0</v>
      </c>
      <c r="R32" s="79">
        <v>27250</v>
      </c>
      <c r="S32" s="79">
        <v>13380</v>
      </c>
      <c r="T32" s="79">
        <v>0</v>
      </c>
      <c r="U32" s="79">
        <v>-27560</v>
      </c>
      <c r="V32" s="79">
        <v>-2750</v>
      </c>
      <c r="W32" s="79">
        <f t="shared" si="1"/>
        <v>244960</v>
      </c>
      <c r="X32" s="81">
        <f t="shared" si="2"/>
        <v>2783349</v>
      </c>
    </row>
    <row r="33" spans="2:24" ht="22.6" customHeight="1" thickBot="1" x14ac:dyDescent="0.35">
      <c r="B33" s="82" t="s">
        <v>88</v>
      </c>
      <c r="C33" s="113" t="s">
        <v>89</v>
      </c>
      <c r="D33" s="91"/>
      <c r="E33" s="84"/>
      <c r="F33" s="85">
        <f t="shared" ref="F33:X33" si="3">SUM(F5:F32)</f>
        <v>135858037</v>
      </c>
      <c r="G33" s="86">
        <f t="shared" si="3"/>
        <v>2000000</v>
      </c>
      <c r="H33" s="86">
        <f t="shared" si="3"/>
        <v>50000</v>
      </c>
      <c r="I33" s="86">
        <f t="shared" si="3"/>
        <v>5102083</v>
      </c>
      <c r="J33" s="86">
        <f t="shared" si="3"/>
        <v>0</v>
      </c>
      <c r="K33" s="86">
        <f t="shared" si="3"/>
        <v>111643</v>
      </c>
      <c r="L33" s="86">
        <f t="shared" si="3"/>
        <v>92260</v>
      </c>
      <c r="M33" s="86">
        <f t="shared" si="3"/>
        <v>1458333</v>
      </c>
      <c r="N33" s="87">
        <f t="shared" si="3"/>
        <v>144672356</v>
      </c>
      <c r="O33" s="88">
        <f t="shared" si="3"/>
        <v>4583540</v>
      </c>
      <c r="P33" s="88">
        <f t="shared" si="3"/>
        <v>5041850</v>
      </c>
      <c r="Q33" s="88">
        <f t="shared" si="3"/>
        <v>0</v>
      </c>
      <c r="R33" s="88">
        <f t="shared" si="3"/>
        <v>999730</v>
      </c>
      <c r="S33" s="88">
        <f t="shared" si="3"/>
        <v>652810</v>
      </c>
      <c r="T33" s="88">
        <f t="shared" si="3"/>
        <v>-26534360</v>
      </c>
      <c r="U33" s="88">
        <f t="shared" si="3"/>
        <v>15244350</v>
      </c>
      <c r="V33" s="88">
        <f t="shared" si="3"/>
        <v>1524340</v>
      </c>
      <c r="W33" s="88">
        <f t="shared" si="3"/>
        <v>1512260</v>
      </c>
      <c r="X33" s="89">
        <f t="shared" si="3"/>
        <v>143160096</v>
      </c>
    </row>
    <row r="34" spans="2:24" x14ac:dyDescent="0.3">
      <c r="B34" s="43"/>
      <c r="C34" s="43"/>
      <c r="D34" s="43"/>
      <c r="E34" s="43"/>
      <c r="F34" s="90"/>
      <c r="G34" s="90"/>
      <c r="H34" s="90"/>
      <c r="I34" s="90"/>
      <c r="J34" s="90"/>
      <c r="K34" s="90"/>
      <c r="L34" s="90"/>
      <c r="M34" s="90"/>
      <c r="N34" s="43"/>
      <c r="O34" s="90"/>
      <c r="P34" s="90"/>
      <c r="Q34" s="90"/>
      <c r="R34" s="90"/>
      <c r="S34" s="90"/>
      <c r="T34" s="90"/>
      <c r="U34" s="90"/>
      <c r="V34" s="90"/>
      <c r="W34" s="90"/>
      <c r="X34" s="90"/>
    </row>
    <row r="35" spans="2:24" x14ac:dyDescent="0.3"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123"/>
      <c r="O35" s="90"/>
      <c r="P35" s="90"/>
      <c r="Q35" s="90"/>
      <c r="R35" s="90"/>
      <c r="S35" s="90"/>
      <c r="T35" s="90"/>
      <c r="U35" s="90"/>
      <c r="V35" s="90"/>
      <c r="W35" s="90"/>
      <c r="X35" s="90"/>
    </row>
    <row r="36" spans="2:24" x14ac:dyDescent="0.3"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65"/>
      <c r="O36" s="90"/>
      <c r="P36" s="90"/>
      <c r="Q36" s="90"/>
      <c r="R36" s="90"/>
      <c r="S36" s="90"/>
      <c r="T36" s="90"/>
      <c r="U36" s="90"/>
      <c r="V36" s="90"/>
      <c r="W36" s="90"/>
      <c r="X36" s="90"/>
    </row>
    <row r="37" spans="2:24" x14ac:dyDescent="0.3"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90"/>
      <c r="P37" s="90"/>
      <c r="Q37" s="90"/>
      <c r="R37" s="90"/>
      <c r="S37" s="90"/>
      <c r="T37" s="90"/>
      <c r="U37" s="90"/>
      <c r="V37" s="90"/>
      <c r="W37" s="90"/>
      <c r="X37" s="90"/>
    </row>
  </sheetData>
  <autoFilter ref="B4:X34" xr:uid="{2DF63FCA-40AB-4473-929F-DC40E9A3E923}"/>
  <phoneticPr fontId="2" type="noConversion"/>
  <pageMargins left="0.36" right="0.11811023622047245" top="0.74803149606299213" bottom="0.74803149606299213" header="0.31496062992125984" footer="0.31496062992125984"/>
  <pageSetup paperSize="9" scale="5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143F8-DE75-42CA-8E6A-DF3A0035C8FF}">
  <dimension ref="B1:L37"/>
  <sheetViews>
    <sheetView showGridLines="0" zoomScale="80" zoomScaleNormal="80" workbookViewId="0"/>
  </sheetViews>
  <sheetFormatPr defaultColWidth="9.08984375" defaultRowHeight="13.45" x14ac:dyDescent="0.3"/>
  <cols>
    <col min="1" max="1" width="2" style="42" customWidth="1"/>
    <col min="2" max="2" width="13.54296875" style="42" bestFit="1" customWidth="1"/>
    <col min="3" max="4" width="18.54296875" style="42" customWidth="1"/>
    <col min="5" max="5" width="12.6328125" style="42" bestFit="1" customWidth="1"/>
    <col min="6" max="6" width="13.6328125" style="42" customWidth="1"/>
    <col min="7" max="7" width="12.6328125" style="42" customWidth="1"/>
    <col min="8" max="8" width="14.1796875" style="42" customWidth="1"/>
    <col min="9" max="9" width="20.453125" style="42" customWidth="1"/>
    <col min="10" max="10" width="12.453125" style="42" customWidth="1"/>
    <col min="11" max="11" width="11.36328125" style="42" customWidth="1"/>
    <col min="12" max="12" width="20.1796875" style="42" customWidth="1"/>
    <col min="13" max="16384" width="9.08984375" style="42"/>
  </cols>
  <sheetData>
    <row r="1" spans="2:12" ht="9.8000000000000007" customHeight="1" x14ac:dyDescent="0.3"/>
    <row r="2" spans="2:12" s="135" customFormat="1" ht="26.35" customHeight="1" x14ac:dyDescent="0.4">
      <c r="B2" s="133" t="s">
        <v>144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</row>
    <row r="3" spans="2:12" ht="20.3" customHeight="1" thickBot="1" x14ac:dyDescent="0.35">
      <c r="B3" s="43"/>
      <c r="C3" s="43"/>
      <c r="D3" s="43"/>
      <c r="E3" s="43"/>
      <c r="F3" s="43"/>
      <c r="G3" s="43"/>
      <c r="H3" s="43"/>
      <c r="I3" s="43"/>
      <c r="J3" s="43"/>
      <c r="K3" s="43"/>
      <c r="L3" s="44" t="s">
        <v>83</v>
      </c>
    </row>
    <row r="4" spans="2:12" s="51" customFormat="1" ht="54.3" thickBot="1" x14ac:dyDescent="0.35">
      <c r="B4" s="45" t="s">
        <v>59</v>
      </c>
      <c r="C4" s="46" t="s">
        <v>60</v>
      </c>
      <c r="D4" s="124" t="s">
        <v>61</v>
      </c>
      <c r="E4" s="47" t="s">
        <v>62</v>
      </c>
      <c r="F4" s="48" t="s">
        <v>91</v>
      </c>
      <c r="G4" s="47" t="s">
        <v>71</v>
      </c>
      <c r="H4" s="110" t="s">
        <v>75</v>
      </c>
      <c r="I4" s="50" t="s">
        <v>78</v>
      </c>
      <c r="J4" s="110" t="s">
        <v>92</v>
      </c>
      <c r="K4" s="49" t="s">
        <v>81</v>
      </c>
      <c r="L4" s="47" t="s">
        <v>93</v>
      </c>
    </row>
    <row r="5" spans="2:12" ht="23.1" customHeight="1" x14ac:dyDescent="0.3">
      <c r="B5" s="52" t="s">
        <v>1</v>
      </c>
      <c r="C5" s="53" t="s">
        <v>0</v>
      </c>
      <c r="D5" s="53" t="str">
        <f>C5</f>
        <v>Shin Jonghoon Bryan</v>
      </c>
      <c r="E5" s="53" t="s">
        <v>85</v>
      </c>
      <c r="F5" s="54">
        <v>130487506</v>
      </c>
      <c r="G5" s="55">
        <f t="shared" ref="G5:G32" si="0">SUM(F5:F5)</f>
        <v>130487506</v>
      </c>
      <c r="H5" s="54">
        <v>0</v>
      </c>
      <c r="I5" s="54">
        <v>13989190</v>
      </c>
      <c r="J5" s="54">
        <v>1398910</v>
      </c>
      <c r="K5" s="56">
        <f t="shared" ref="K5:K32" si="1">SUM(H5:J5)</f>
        <v>15388100</v>
      </c>
      <c r="L5" s="57">
        <f t="shared" ref="L5:L32" si="2">G5-K5</f>
        <v>115099406</v>
      </c>
    </row>
    <row r="6" spans="2:12" ht="23.1" customHeight="1" x14ac:dyDescent="0.3">
      <c r="B6" s="59" t="s">
        <v>15</v>
      </c>
      <c r="C6" s="60" t="s">
        <v>114</v>
      </c>
      <c r="D6" s="60" t="s">
        <v>22</v>
      </c>
      <c r="E6" s="60" t="s">
        <v>86</v>
      </c>
      <c r="F6" s="61">
        <v>0</v>
      </c>
      <c r="G6" s="62">
        <f t="shared" si="0"/>
        <v>0</v>
      </c>
      <c r="H6" s="61">
        <v>0</v>
      </c>
      <c r="I6" s="61">
        <v>0</v>
      </c>
      <c r="J6" s="61">
        <v>0</v>
      </c>
      <c r="K6" s="63">
        <f t="shared" si="1"/>
        <v>0</v>
      </c>
      <c r="L6" s="64">
        <f t="shared" si="2"/>
        <v>0</v>
      </c>
    </row>
    <row r="7" spans="2:12" ht="23.1" customHeight="1" x14ac:dyDescent="0.3">
      <c r="B7" s="59" t="s">
        <v>2</v>
      </c>
      <c r="C7" s="60" t="s">
        <v>115</v>
      </c>
      <c r="D7" s="60" t="s">
        <v>23</v>
      </c>
      <c r="E7" s="60" t="s">
        <v>86</v>
      </c>
      <c r="F7" s="61">
        <v>6250000</v>
      </c>
      <c r="G7" s="62">
        <f t="shared" si="0"/>
        <v>6250000</v>
      </c>
      <c r="H7" s="61">
        <v>56250</v>
      </c>
      <c r="I7" s="61">
        <v>773530</v>
      </c>
      <c r="J7" s="61">
        <v>77350</v>
      </c>
      <c r="K7" s="63">
        <f t="shared" si="1"/>
        <v>907130</v>
      </c>
      <c r="L7" s="64">
        <f t="shared" si="2"/>
        <v>5342870</v>
      </c>
    </row>
    <row r="8" spans="2:12" ht="23.1" customHeight="1" x14ac:dyDescent="0.3">
      <c r="B8" s="59" t="s">
        <v>3</v>
      </c>
      <c r="C8" s="60" t="s">
        <v>116</v>
      </c>
      <c r="D8" s="60" t="s">
        <v>24</v>
      </c>
      <c r="E8" s="60" t="s">
        <v>84</v>
      </c>
      <c r="F8" s="61">
        <v>2967000</v>
      </c>
      <c r="G8" s="62">
        <f t="shared" si="0"/>
        <v>2967000</v>
      </c>
      <c r="H8" s="61">
        <v>26700</v>
      </c>
      <c r="I8" s="61">
        <v>114990</v>
      </c>
      <c r="J8" s="61">
        <v>11490</v>
      </c>
      <c r="K8" s="63">
        <f t="shared" si="1"/>
        <v>153180</v>
      </c>
      <c r="L8" s="64">
        <f t="shared" si="2"/>
        <v>2813820</v>
      </c>
    </row>
    <row r="9" spans="2:12" ht="23.1" customHeight="1" x14ac:dyDescent="0.3">
      <c r="B9" s="59" t="s">
        <v>4</v>
      </c>
      <c r="C9" s="60" t="s">
        <v>117</v>
      </c>
      <c r="D9" s="60" t="s">
        <v>25</v>
      </c>
      <c r="E9" s="60" t="s">
        <v>84</v>
      </c>
      <c r="F9" s="61">
        <v>5701667</v>
      </c>
      <c r="G9" s="62">
        <f t="shared" si="0"/>
        <v>5701667</v>
      </c>
      <c r="H9" s="61">
        <v>51310</v>
      </c>
      <c r="I9" s="61">
        <v>168010</v>
      </c>
      <c r="J9" s="61">
        <v>16800</v>
      </c>
      <c r="K9" s="63">
        <f t="shared" si="1"/>
        <v>236120</v>
      </c>
      <c r="L9" s="64">
        <f t="shared" si="2"/>
        <v>5465547</v>
      </c>
    </row>
    <row r="10" spans="2:12" ht="23.1" customHeight="1" x14ac:dyDescent="0.3">
      <c r="B10" s="59" t="s">
        <v>5</v>
      </c>
      <c r="C10" s="60" t="s">
        <v>118</v>
      </c>
      <c r="D10" s="60" t="s">
        <v>26</v>
      </c>
      <c r="E10" s="60" t="s">
        <v>86</v>
      </c>
      <c r="F10" s="61">
        <v>3005000</v>
      </c>
      <c r="G10" s="62">
        <f t="shared" si="0"/>
        <v>3005000</v>
      </c>
      <c r="H10" s="61">
        <v>27040</v>
      </c>
      <c r="I10" s="61">
        <v>149220</v>
      </c>
      <c r="J10" s="61">
        <v>14920</v>
      </c>
      <c r="K10" s="63">
        <f t="shared" si="1"/>
        <v>191180</v>
      </c>
      <c r="L10" s="64">
        <f t="shared" si="2"/>
        <v>2813820</v>
      </c>
    </row>
    <row r="11" spans="2:12" ht="23.1" customHeight="1" x14ac:dyDescent="0.3">
      <c r="B11" s="59" t="s">
        <v>6</v>
      </c>
      <c r="C11" s="60" t="s">
        <v>119</v>
      </c>
      <c r="D11" s="60" t="s">
        <v>27</v>
      </c>
      <c r="E11" s="60" t="s">
        <v>86</v>
      </c>
      <c r="F11" s="61">
        <v>5394583</v>
      </c>
      <c r="G11" s="62">
        <f t="shared" si="0"/>
        <v>5394583</v>
      </c>
      <c r="H11" s="61">
        <v>48550</v>
      </c>
      <c r="I11" s="61">
        <v>425230</v>
      </c>
      <c r="J11" s="61">
        <v>42520</v>
      </c>
      <c r="K11" s="63">
        <f t="shared" si="1"/>
        <v>516300</v>
      </c>
      <c r="L11" s="64">
        <f t="shared" si="2"/>
        <v>4878283</v>
      </c>
    </row>
    <row r="12" spans="2:12" ht="23.1" customHeight="1" x14ac:dyDescent="0.3">
      <c r="B12" s="59" t="s">
        <v>7</v>
      </c>
      <c r="C12" s="60" t="s">
        <v>120</v>
      </c>
      <c r="D12" s="60" t="s">
        <v>28</v>
      </c>
      <c r="E12" s="60" t="s">
        <v>84</v>
      </c>
      <c r="F12" s="61">
        <v>3308060</v>
      </c>
      <c r="G12" s="62">
        <f t="shared" si="0"/>
        <v>3308060</v>
      </c>
      <c r="H12" s="61">
        <v>29770</v>
      </c>
      <c r="I12" s="61">
        <v>236010</v>
      </c>
      <c r="J12" s="61">
        <v>23600</v>
      </c>
      <c r="K12" s="63">
        <f t="shared" si="1"/>
        <v>289380</v>
      </c>
      <c r="L12" s="64">
        <f t="shared" si="2"/>
        <v>3018680</v>
      </c>
    </row>
    <row r="13" spans="2:12" ht="23.1" customHeight="1" x14ac:dyDescent="0.3">
      <c r="B13" s="59" t="s">
        <v>8</v>
      </c>
      <c r="C13" s="60" t="s">
        <v>121</v>
      </c>
      <c r="D13" s="60" t="s">
        <v>29</v>
      </c>
      <c r="E13" s="60" t="s">
        <v>85</v>
      </c>
      <c r="F13" s="61">
        <v>12500000</v>
      </c>
      <c r="G13" s="62">
        <f t="shared" si="0"/>
        <v>12500000</v>
      </c>
      <c r="H13" s="61">
        <v>112500</v>
      </c>
      <c r="I13" s="61">
        <v>1102260</v>
      </c>
      <c r="J13" s="61">
        <v>110220</v>
      </c>
      <c r="K13" s="63">
        <f t="shared" si="1"/>
        <v>1324980</v>
      </c>
      <c r="L13" s="64">
        <f t="shared" si="2"/>
        <v>11175020</v>
      </c>
    </row>
    <row r="14" spans="2:12" ht="23.1" customHeight="1" x14ac:dyDescent="0.3">
      <c r="B14" s="59" t="s">
        <v>9</v>
      </c>
      <c r="C14" s="60" t="s">
        <v>122</v>
      </c>
      <c r="D14" s="60" t="s">
        <v>30</v>
      </c>
      <c r="E14" s="60" t="s">
        <v>87</v>
      </c>
      <c r="F14" s="61">
        <v>4010000</v>
      </c>
      <c r="G14" s="62">
        <f t="shared" si="0"/>
        <v>4010000</v>
      </c>
      <c r="H14" s="61">
        <v>36090</v>
      </c>
      <c r="I14" s="61">
        <v>241350</v>
      </c>
      <c r="J14" s="61">
        <v>24130</v>
      </c>
      <c r="K14" s="63">
        <f t="shared" si="1"/>
        <v>301570</v>
      </c>
      <c r="L14" s="64">
        <f t="shared" si="2"/>
        <v>3708430</v>
      </c>
    </row>
    <row r="15" spans="2:12" ht="23.1" customHeight="1" x14ac:dyDescent="0.3">
      <c r="B15" s="59" t="s">
        <v>10</v>
      </c>
      <c r="C15" s="60" t="s">
        <v>123</v>
      </c>
      <c r="D15" s="60" t="s">
        <v>31</v>
      </c>
      <c r="E15" s="60" t="s">
        <v>86</v>
      </c>
      <c r="F15" s="61">
        <v>10000000</v>
      </c>
      <c r="G15" s="62">
        <f t="shared" si="0"/>
        <v>10000000</v>
      </c>
      <c r="H15" s="61">
        <v>90000</v>
      </c>
      <c r="I15" s="61">
        <v>1932560</v>
      </c>
      <c r="J15" s="61">
        <v>193250</v>
      </c>
      <c r="K15" s="63">
        <f t="shared" si="1"/>
        <v>2215810</v>
      </c>
      <c r="L15" s="64">
        <f t="shared" si="2"/>
        <v>7784190</v>
      </c>
    </row>
    <row r="16" spans="2:12" ht="23.1" customHeight="1" x14ac:dyDescent="0.3">
      <c r="B16" s="66">
        <v>41699</v>
      </c>
      <c r="C16" s="60" t="s">
        <v>124</v>
      </c>
      <c r="D16" s="60" t="s">
        <v>32</v>
      </c>
      <c r="E16" s="60" t="s">
        <v>86</v>
      </c>
      <c r="F16" s="61">
        <v>6116833</v>
      </c>
      <c r="G16" s="62">
        <f t="shared" si="0"/>
        <v>6116833</v>
      </c>
      <c r="H16" s="61">
        <v>55050</v>
      </c>
      <c r="I16" s="61">
        <v>637450</v>
      </c>
      <c r="J16" s="61">
        <v>63740</v>
      </c>
      <c r="K16" s="63">
        <f t="shared" si="1"/>
        <v>756240</v>
      </c>
      <c r="L16" s="64">
        <f t="shared" si="2"/>
        <v>5360593</v>
      </c>
    </row>
    <row r="17" spans="2:12" ht="23.1" customHeight="1" x14ac:dyDescent="0.3">
      <c r="B17" s="59" t="s">
        <v>11</v>
      </c>
      <c r="C17" s="60" t="s">
        <v>125</v>
      </c>
      <c r="D17" s="60" t="s">
        <v>33</v>
      </c>
      <c r="E17" s="60" t="s">
        <v>87</v>
      </c>
      <c r="F17" s="61">
        <v>3740000</v>
      </c>
      <c r="G17" s="62">
        <f t="shared" si="0"/>
        <v>3740000</v>
      </c>
      <c r="H17" s="61">
        <v>33660</v>
      </c>
      <c r="I17" s="61">
        <v>203970</v>
      </c>
      <c r="J17" s="61">
        <v>20390</v>
      </c>
      <c r="K17" s="63">
        <f t="shared" si="1"/>
        <v>258020</v>
      </c>
      <c r="L17" s="64">
        <f t="shared" si="2"/>
        <v>3481980</v>
      </c>
    </row>
    <row r="18" spans="2:12" ht="23.1" customHeight="1" x14ac:dyDescent="0.3">
      <c r="B18" s="59" t="s">
        <v>12</v>
      </c>
      <c r="C18" s="60" t="s">
        <v>126</v>
      </c>
      <c r="D18" s="60" t="s">
        <v>34</v>
      </c>
      <c r="E18" s="60" t="s">
        <v>87</v>
      </c>
      <c r="F18" s="61">
        <v>4790000</v>
      </c>
      <c r="G18" s="62">
        <f t="shared" si="0"/>
        <v>4790000</v>
      </c>
      <c r="H18" s="61">
        <v>43110</v>
      </c>
      <c r="I18" s="61">
        <v>360710</v>
      </c>
      <c r="J18" s="61">
        <v>36070</v>
      </c>
      <c r="K18" s="63">
        <f t="shared" si="1"/>
        <v>439890</v>
      </c>
      <c r="L18" s="64">
        <f t="shared" si="2"/>
        <v>4350110</v>
      </c>
    </row>
    <row r="19" spans="2:12" ht="23.1" customHeight="1" x14ac:dyDescent="0.3">
      <c r="B19" s="59" t="s">
        <v>13</v>
      </c>
      <c r="C19" s="60" t="s">
        <v>127</v>
      </c>
      <c r="D19" s="60" t="s">
        <v>35</v>
      </c>
      <c r="E19" s="60" t="s">
        <v>87</v>
      </c>
      <c r="F19" s="61">
        <v>2910000</v>
      </c>
      <c r="G19" s="62">
        <f t="shared" si="0"/>
        <v>2910000</v>
      </c>
      <c r="H19" s="61">
        <v>26190</v>
      </c>
      <c r="I19" s="61">
        <v>146780</v>
      </c>
      <c r="J19" s="61">
        <v>14670</v>
      </c>
      <c r="K19" s="63">
        <f t="shared" si="1"/>
        <v>187640</v>
      </c>
      <c r="L19" s="64">
        <f t="shared" si="2"/>
        <v>2722360</v>
      </c>
    </row>
    <row r="20" spans="2:12" ht="23.1" customHeight="1" x14ac:dyDescent="0.3">
      <c r="B20" s="59" t="s">
        <v>14</v>
      </c>
      <c r="C20" s="60" t="s">
        <v>128</v>
      </c>
      <c r="D20" s="60" t="s">
        <v>36</v>
      </c>
      <c r="E20" s="60" t="s">
        <v>87</v>
      </c>
      <c r="F20" s="61">
        <v>3380000</v>
      </c>
      <c r="G20" s="62">
        <f t="shared" si="0"/>
        <v>3380000</v>
      </c>
      <c r="H20" s="61">
        <v>30420</v>
      </c>
      <c r="I20" s="61">
        <v>154110</v>
      </c>
      <c r="J20" s="61">
        <v>15410</v>
      </c>
      <c r="K20" s="63">
        <f t="shared" si="1"/>
        <v>199940</v>
      </c>
      <c r="L20" s="64">
        <f t="shared" si="2"/>
        <v>3180060</v>
      </c>
    </row>
    <row r="21" spans="2:12" ht="23.1" customHeight="1" x14ac:dyDescent="0.3">
      <c r="B21" s="67" t="s">
        <v>16</v>
      </c>
      <c r="C21" s="68" t="s">
        <v>129</v>
      </c>
      <c r="D21" s="68" t="s">
        <v>37</v>
      </c>
      <c r="E21" s="68" t="s">
        <v>86</v>
      </c>
      <c r="F21" s="69">
        <v>3573000</v>
      </c>
      <c r="G21" s="70">
        <f t="shared" si="0"/>
        <v>3573000</v>
      </c>
      <c r="H21" s="61">
        <v>32150</v>
      </c>
      <c r="I21" s="61">
        <v>177270</v>
      </c>
      <c r="J21" s="61">
        <v>17720</v>
      </c>
      <c r="K21" s="71">
        <f t="shared" si="1"/>
        <v>227140</v>
      </c>
      <c r="L21" s="72">
        <f t="shared" si="2"/>
        <v>3345860</v>
      </c>
    </row>
    <row r="22" spans="2:12" ht="23.1" customHeight="1" x14ac:dyDescent="0.3">
      <c r="B22" s="73">
        <v>44879</v>
      </c>
      <c r="C22" s="74" t="s">
        <v>130</v>
      </c>
      <c r="D22" s="74" t="s">
        <v>38</v>
      </c>
      <c r="E22" s="74" t="s">
        <v>86</v>
      </c>
      <c r="F22" s="69">
        <v>4556750</v>
      </c>
      <c r="G22" s="75">
        <f t="shared" si="0"/>
        <v>4556750</v>
      </c>
      <c r="H22" s="61">
        <v>41010</v>
      </c>
      <c r="I22" s="61">
        <v>357910</v>
      </c>
      <c r="J22" s="61">
        <v>35790</v>
      </c>
      <c r="K22" s="71">
        <f t="shared" si="1"/>
        <v>434710</v>
      </c>
      <c r="L22" s="72">
        <f t="shared" si="2"/>
        <v>4122040</v>
      </c>
    </row>
    <row r="23" spans="2:12" ht="23.1" customHeight="1" x14ac:dyDescent="0.3">
      <c r="B23" s="73">
        <v>44923</v>
      </c>
      <c r="C23" s="74" t="s">
        <v>131</v>
      </c>
      <c r="D23" s="74" t="s">
        <v>39</v>
      </c>
      <c r="E23" s="74" t="s">
        <v>86</v>
      </c>
      <c r="F23" s="69">
        <v>3666667</v>
      </c>
      <c r="G23" s="75">
        <f t="shared" si="0"/>
        <v>3666667</v>
      </c>
      <c r="H23" s="61">
        <v>33000</v>
      </c>
      <c r="I23" s="61">
        <v>241350</v>
      </c>
      <c r="J23" s="61">
        <v>24130</v>
      </c>
      <c r="K23" s="69">
        <f t="shared" si="1"/>
        <v>298480</v>
      </c>
      <c r="L23" s="72">
        <f t="shared" si="2"/>
        <v>3368187</v>
      </c>
    </row>
    <row r="24" spans="2:12" ht="23.1" customHeight="1" x14ac:dyDescent="0.3">
      <c r="B24" s="73">
        <v>45034</v>
      </c>
      <c r="C24" s="74" t="s">
        <v>132</v>
      </c>
      <c r="D24" s="74" t="s">
        <v>40</v>
      </c>
      <c r="E24" s="74" t="s">
        <v>87</v>
      </c>
      <c r="F24" s="69">
        <v>2950000</v>
      </c>
      <c r="G24" s="75">
        <f t="shared" si="0"/>
        <v>2950000</v>
      </c>
      <c r="H24" s="69">
        <v>26550</v>
      </c>
      <c r="I24" s="69">
        <v>93170</v>
      </c>
      <c r="J24" s="69">
        <v>9310</v>
      </c>
      <c r="K24" s="69">
        <f t="shared" si="1"/>
        <v>129030</v>
      </c>
      <c r="L24" s="72">
        <f t="shared" si="2"/>
        <v>2820970</v>
      </c>
    </row>
    <row r="25" spans="2:12" ht="23.1" customHeight="1" x14ac:dyDescent="0.3">
      <c r="B25" s="73">
        <v>45212</v>
      </c>
      <c r="C25" s="74" t="s">
        <v>133</v>
      </c>
      <c r="D25" s="74" t="s">
        <v>41</v>
      </c>
      <c r="E25" s="74" t="s">
        <v>87</v>
      </c>
      <c r="F25" s="69">
        <v>2560000</v>
      </c>
      <c r="G25" s="75">
        <f t="shared" si="0"/>
        <v>2560000</v>
      </c>
      <c r="H25" s="69">
        <v>23040</v>
      </c>
      <c r="I25" s="69">
        <v>64510</v>
      </c>
      <c r="J25" s="69">
        <v>6450</v>
      </c>
      <c r="K25" s="69">
        <f t="shared" si="1"/>
        <v>94000</v>
      </c>
      <c r="L25" s="72">
        <f t="shared" si="2"/>
        <v>2466000</v>
      </c>
    </row>
    <row r="26" spans="2:12" ht="23.1" customHeight="1" x14ac:dyDescent="0.3">
      <c r="B26" s="66">
        <v>45366</v>
      </c>
      <c r="C26" s="76" t="s">
        <v>134</v>
      </c>
      <c r="D26" s="76" t="s">
        <v>42</v>
      </c>
      <c r="E26" s="76" t="s">
        <v>86</v>
      </c>
      <c r="F26" s="61">
        <v>2250000</v>
      </c>
      <c r="G26" s="75">
        <f t="shared" si="0"/>
        <v>2250000</v>
      </c>
      <c r="H26" s="61">
        <v>20250</v>
      </c>
      <c r="I26" s="61">
        <v>107660</v>
      </c>
      <c r="J26" s="61">
        <v>10760</v>
      </c>
      <c r="K26" s="69">
        <f t="shared" si="1"/>
        <v>138670</v>
      </c>
      <c r="L26" s="72">
        <f t="shared" si="2"/>
        <v>2111330</v>
      </c>
    </row>
    <row r="27" spans="2:12" ht="23.1" customHeight="1" x14ac:dyDescent="0.3">
      <c r="B27" s="73">
        <v>45366</v>
      </c>
      <c r="C27" s="74" t="s">
        <v>135</v>
      </c>
      <c r="D27" s="74" t="s">
        <v>43</v>
      </c>
      <c r="E27" s="74" t="s">
        <v>86</v>
      </c>
      <c r="F27" s="69">
        <v>2250000</v>
      </c>
      <c r="G27" s="75">
        <f t="shared" si="0"/>
        <v>2250000</v>
      </c>
      <c r="H27" s="69">
        <v>20250</v>
      </c>
      <c r="I27" s="69">
        <v>107660</v>
      </c>
      <c r="J27" s="69">
        <v>10760</v>
      </c>
      <c r="K27" s="69">
        <f t="shared" si="1"/>
        <v>138670</v>
      </c>
      <c r="L27" s="72">
        <f t="shared" si="2"/>
        <v>2111330</v>
      </c>
    </row>
    <row r="28" spans="2:12" ht="23.1" customHeight="1" x14ac:dyDescent="0.3">
      <c r="B28" s="66">
        <v>45554</v>
      </c>
      <c r="C28" s="60" t="s">
        <v>17</v>
      </c>
      <c r="D28" s="60" t="s">
        <v>44</v>
      </c>
      <c r="E28" s="60" t="s">
        <v>87</v>
      </c>
      <c r="F28" s="61">
        <v>690000</v>
      </c>
      <c r="G28" s="77">
        <f t="shared" si="0"/>
        <v>690000</v>
      </c>
      <c r="H28" s="61">
        <v>6210</v>
      </c>
      <c r="I28" s="61">
        <v>43110</v>
      </c>
      <c r="J28" s="61">
        <v>4310</v>
      </c>
      <c r="K28" s="61">
        <f t="shared" si="1"/>
        <v>53630</v>
      </c>
      <c r="L28" s="64">
        <f t="shared" si="2"/>
        <v>636370</v>
      </c>
    </row>
    <row r="29" spans="2:12" ht="23.1" customHeight="1" x14ac:dyDescent="0.3">
      <c r="B29" s="66">
        <v>45593</v>
      </c>
      <c r="C29" s="60" t="s">
        <v>18</v>
      </c>
      <c r="D29" s="60" t="s">
        <v>45</v>
      </c>
      <c r="E29" s="60" t="s">
        <v>87</v>
      </c>
      <c r="F29" s="61">
        <v>430000</v>
      </c>
      <c r="G29" s="77">
        <f t="shared" si="0"/>
        <v>430000</v>
      </c>
      <c r="H29" s="61">
        <v>3870</v>
      </c>
      <c r="I29" s="61">
        <v>38000</v>
      </c>
      <c r="J29" s="61">
        <v>3800</v>
      </c>
      <c r="K29" s="61">
        <f t="shared" si="1"/>
        <v>45670</v>
      </c>
      <c r="L29" s="64">
        <f t="shared" si="2"/>
        <v>384330</v>
      </c>
    </row>
    <row r="30" spans="2:12" ht="23.1" customHeight="1" x14ac:dyDescent="0.3">
      <c r="B30" s="66">
        <v>45627</v>
      </c>
      <c r="C30" s="60" t="s">
        <v>19</v>
      </c>
      <c r="D30" s="60" t="s">
        <v>46</v>
      </c>
      <c r="E30" s="60" t="s">
        <v>86</v>
      </c>
      <c r="F30" s="61">
        <v>260000</v>
      </c>
      <c r="G30" s="77">
        <f t="shared" si="0"/>
        <v>260000</v>
      </c>
      <c r="H30" s="61">
        <v>2340</v>
      </c>
      <c r="I30" s="61">
        <v>2060</v>
      </c>
      <c r="J30" s="61">
        <v>200</v>
      </c>
      <c r="K30" s="61">
        <f t="shared" si="1"/>
        <v>4600</v>
      </c>
      <c r="L30" s="64">
        <f t="shared" si="2"/>
        <v>255400</v>
      </c>
    </row>
    <row r="31" spans="2:12" ht="23.1" customHeight="1" x14ac:dyDescent="0.3">
      <c r="B31" s="66">
        <v>45656</v>
      </c>
      <c r="C31" s="60" t="s">
        <v>20</v>
      </c>
      <c r="D31" s="60" t="s">
        <v>47</v>
      </c>
      <c r="E31" s="60" t="s">
        <v>84</v>
      </c>
      <c r="F31" s="61">
        <v>0</v>
      </c>
      <c r="G31" s="77">
        <f t="shared" si="0"/>
        <v>0</v>
      </c>
      <c r="H31" s="61">
        <v>0</v>
      </c>
      <c r="I31" s="61">
        <v>0</v>
      </c>
      <c r="J31" s="61">
        <v>0</v>
      </c>
      <c r="K31" s="61">
        <f t="shared" si="1"/>
        <v>0</v>
      </c>
      <c r="L31" s="64">
        <f t="shared" si="2"/>
        <v>0</v>
      </c>
    </row>
    <row r="32" spans="2:12" ht="23.1" customHeight="1" thickBot="1" x14ac:dyDescent="0.35">
      <c r="B32" s="78">
        <v>45665</v>
      </c>
      <c r="C32" s="102" t="s">
        <v>21</v>
      </c>
      <c r="D32" s="102" t="s">
        <v>48</v>
      </c>
      <c r="E32" s="102" t="s">
        <v>86</v>
      </c>
      <c r="F32" s="79">
        <v>0</v>
      </c>
      <c r="G32" s="80">
        <f t="shared" si="0"/>
        <v>0</v>
      </c>
      <c r="H32" s="79">
        <v>0</v>
      </c>
      <c r="I32" s="79">
        <v>0</v>
      </c>
      <c r="J32" s="79">
        <v>0</v>
      </c>
      <c r="K32" s="79">
        <f t="shared" si="1"/>
        <v>0</v>
      </c>
      <c r="L32" s="81">
        <f t="shared" si="2"/>
        <v>0</v>
      </c>
    </row>
    <row r="33" spans="2:12" ht="22.6" customHeight="1" thickBot="1" x14ac:dyDescent="0.35">
      <c r="B33" s="82" t="s">
        <v>88</v>
      </c>
      <c r="C33" s="113" t="s">
        <v>89</v>
      </c>
      <c r="D33" s="91"/>
      <c r="E33" s="84"/>
      <c r="F33" s="85">
        <f t="shared" ref="F33:L33" si="3">SUM(F5:F32)</f>
        <v>227747066</v>
      </c>
      <c r="G33" s="87">
        <f t="shared" si="3"/>
        <v>227747066</v>
      </c>
      <c r="H33" s="88">
        <f t="shared" si="3"/>
        <v>875310</v>
      </c>
      <c r="I33" s="88">
        <f t="shared" si="3"/>
        <v>21868070</v>
      </c>
      <c r="J33" s="88">
        <f t="shared" si="3"/>
        <v>2186700</v>
      </c>
      <c r="K33" s="88">
        <f t="shared" si="3"/>
        <v>24930080</v>
      </c>
      <c r="L33" s="89">
        <f t="shared" si="3"/>
        <v>202816986</v>
      </c>
    </row>
    <row r="34" spans="2:12" x14ac:dyDescent="0.3">
      <c r="B34" s="43"/>
      <c r="C34" s="43"/>
      <c r="D34" s="43"/>
      <c r="E34" s="43"/>
      <c r="F34" s="90"/>
      <c r="G34" s="43"/>
      <c r="H34" s="90"/>
      <c r="I34" s="90"/>
      <c r="J34" s="90"/>
      <c r="K34" s="90"/>
      <c r="L34" s="90"/>
    </row>
    <row r="35" spans="2:12" x14ac:dyDescent="0.3">
      <c r="B35" s="43"/>
      <c r="C35" s="43"/>
      <c r="D35" s="43"/>
      <c r="E35" s="43"/>
      <c r="F35" s="43"/>
      <c r="G35" s="123"/>
      <c r="H35" s="90"/>
      <c r="I35" s="90"/>
      <c r="J35" s="90"/>
      <c r="K35" s="90"/>
      <c r="L35" s="90"/>
    </row>
    <row r="36" spans="2:12" x14ac:dyDescent="0.3">
      <c r="B36" s="43"/>
      <c r="C36" s="43"/>
      <c r="D36" s="43"/>
      <c r="E36" s="43"/>
      <c r="F36" s="43"/>
      <c r="G36" s="65"/>
      <c r="H36" s="90"/>
      <c r="I36" s="90"/>
      <c r="J36" s="90"/>
      <c r="K36" s="90"/>
      <c r="L36" s="90"/>
    </row>
    <row r="37" spans="2:12" x14ac:dyDescent="0.3">
      <c r="B37" s="43"/>
      <c r="C37" s="43"/>
      <c r="D37" s="43"/>
      <c r="E37" s="43"/>
      <c r="F37" s="43"/>
      <c r="G37" s="43"/>
      <c r="H37" s="90"/>
      <c r="I37" s="90"/>
      <c r="J37" s="90"/>
      <c r="K37" s="90"/>
      <c r="L37" s="90"/>
    </row>
  </sheetData>
  <autoFilter ref="B4:L34" xr:uid="{C2D0A0A3-6044-4820-A5B2-64354F84F8F0}"/>
  <phoneticPr fontId="2" type="noConversion"/>
  <pageMargins left="0.36" right="0.11811023622047245" top="0.74803149606299213" bottom="0.74803149606299213" header="0.31496062992125984" footer="0.31496062992125984"/>
  <pageSetup paperSize="9" scale="5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36C24-5ACB-42A9-B04B-788B389363BC}">
  <sheetPr codeName="Sheet4"/>
  <dimension ref="B1:X35"/>
  <sheetViews>
    <sheetView showGridLines="0" zoomScale="80" zoomScaleNormal="80" workbookViewId="0"/>
  </sheetViews>
  <sheetFormatPr defaultColWidth="9.08984375" defaultRowHeight="13.45" x14ac:dyDescent="0.3"/>
  <cols>
    <col min="1" max="1" width="2" style="42" customWidth="1"/>
    <col min="2" max="2" width="13.54296875" style="42" bestFit="1" customWidth="1"/>
    <col min="3" max="4" width="20" style="42" bestFit="1" customWidth="1"/>
    <col min="5" max="5" width="14.6328125" style="42" bestFit="1" customWidth="1"/>
    <col min="6" max="7" width="13.6328125" style="42" customWidth="1"/>
    <col min="8" max="8" width="23" style="42" customWidth="1"/>
    <col min="9" max="9" width="16.6328125" style="42" bestFit="1" customWidth="1"/>
    <col min="10" max="10" width="18.1796875" style="42" bestFit="1" customWidth="1"/>
    <col min="11" max="11" width="16" style="42" bestFit="1" customWidth="1"/>
    <col min="12" max="12" width="14.81640625" style="42" customWidth="1"/>
    <col min="13" max="13" width="15.1796875" style="42" bestFit="1" customWidth="1"/>
    <col min="14" max="14" width="12.6328125" style="42" customWidth="1"/>
    <col min="15" max="15" width="11.54296875" style="42" customWidth="1"/>
    <col min="16" max="16" width="11.453125" style="42" customWidth="1"/>
    <col min="17" max="17" width="19.1796875" style="42" customWidth="1"/>
    <col min="18" max="18" width="11.08984375" style="42" customWidth="1"/>
    <col min="19" max="20" width="15.453125" style="42" customWidth="1"/>
    <col min="21" max="21" width="12.1796875" style="42" customWidth="1"/>
    <col min="22" max="22" width="12.453125" style="42" customWidth="1"/>
    <col min="23" max="23" width="18.453125" style="42" customWidth="1"/>
    <col min="24" max="24" width="20" style="42" customWidth="1"/>
    <col min="25" max="16384" width="9.08984375" style="42"/>
  </cols>
  <sheetData>
    <row r="1" spans="2:24" ht="9.8000000000000007" customHeight="1" x14ac:dyDescent="0.3"/>
    <row r="2" spans="2:24" s="135" customFormat="1" ht="26.35" customHeight="1" x14ac:dyDescent="0.4">
      <c r="B2" s="133" t="s">
        <v>110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</row>
    <row r="3" spans="2:24" ht="20.3" customHeight="1" thickBot="1" x14ac:dyDescent="0.35"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4" t="s">
        <v>83</v>
      </c>
    </row>
    <row r="4" spans="2:24" s="51" customFormat="1" ht="54.3" thickBot="1" x14ac:dyDescent="0.35">
      <c r="B4" s="45" t="s">
        <v>59</v>
      </c>
      <c r="C4" s="46" t="s">
        <v>60</v>
      </c>
      <c r="D4" s="124" t="s">
        <v>61</v>
      </c>
      <c r="E4" s="47" t="s">
        <v>62</v>
      </c>
      <c r="F4" s="48" t="s">
        <v>63</v>
      </c>
      <c r="G4" s="49" t="s">
        <v>64</v>
      </c>
      <c r="H4" s="108" t="s">
        <v>65</v>
      </c>
      <c r="I4" s="49" t="s">
        <v>66</v>
      </c>
      <c r="J4" s="108" t="s">
        <v>67</v>
      </c>
      <c r="K4" s="49" t="s">
        <v>68</v>
      </c>
      <c r="L4" s="108" t="s">
        <v>69</v>
      </c>
      <c r="M4" s="46" t="s">
        <v>70</v>
      </c>
      <c r="N4" s="47" t="s">
        <v>71</v>
      </c>
      <c r="O4" s="109" t="s">
        <v>72</v>
      </c>
      <c r="P4" s="110" t="s">
        <v>73</v>
      </c>
      <c r="Q4" s="110" t="s">
        <v>74</v>
      </c>
      <c r="R4" s="110" t="s">
        <v>75</v>
      </c>
      <c r="S4" s="110" t="s">
        <v>76</v>
      </c>
      <c r="T4" s="50" t="s">
        <v>77</v>
      </c>
      <c r="U4" s="110" t="s">
        <v>79</v>
      </c>
      <c r="V4" s="110" t="s">
        <v>80</v>
      </c>
      <c r="W4" s="49" t="s">
        <v>81</v>
      </c>
      <c r="X4" s="47" t="s">
        <v>82</v>
      </c>
    </row>
    <row r="5" spans="2:24" ht="23.1" customHeight="1" x14ac:dyDescent="0.3">
      <c r="B5" s="52" t="s">
        <v>1</v>
      </c>
      <c r="C5" s="53" t="s">
        <v>0</v>
      </c>
      <c r="D5" s="53" t="str">
        <f>C5</f>
        <v>Shin Jonghoon Bryan</v>
      </c>
      <c r="E5" s="53" t="s">
        <v>85</v>
      </c>
      <c r="F5" s="54">
        <v>30685417</v>
      </c>
      <c r="G5" s="54">
        <v>2000000</v>
      </c>
      <c r="H5" s="54">
        <v>0</v>
      </c>
      <c r="I5" s="54">
        <v>0</v>
      </c>
      <c r="J5" s="54">
        <v>0</v>
      </c>
      <c r="K5" s="54">
        <v>0</v>
      </c>
      <c r="L5" s="54">
        <v>0</v>
      </c>
      <c r="M5" s="54">
        <v>0</v>
      </c>
      <c r="N5" s="55">
        <f t="shared" ref="N5:N30" si="0">SUM(F5:M5)</f>
        <v>32685417</v>
      </c>
      <c r="O5" s="54">
        <v>277650</v>
      </c>
      <c r="P5" s="54">
        <v>1152990</v>
      </c>
      <c r="Q5" s="54">
        <v>0</v>
      </c>
      <c r="R5" s="54">
        <v>0</v>
      </c>
      <c r="S5" s="54">
        <v>149310</v>
      </c>
      <c r="T5" s="54"/>
      <c r="U5" s="54">
        <v>9669600</v>
      </c>
      <c r="V5" s="54">
        <v>966960</v>
      </c>
      <c r="W5" s="56">
        <f t="shared" ref="W5:W30" si="1">SUM(O5:V5)</f>
        <v>12216510</v>
      </c>
      <c r="X5" s="57">
        <f t="shared" ref="X5:X30" si="2">N5-W5</f>
        <v>20468907</v>
      </c>
    </row>
    <row r="6" spans="2:24" ht="23.1" customHeight="1" x14ac:dyDescent="0.3">
      <c r="B6" s="59" t="s">
        <v>15</v>
      </c>
      <c r="C6" s="60" t="s">
        <v>114</v>
      </c>
      <c r="D6" s="60" t="s">
        <v>22</v>
      </c>
      <c r="E6" s="60" t="s">
        <v>86</v>
      </c>
      <c r="F6" s="61">
        <v>0</v>
      </c>
      <c r="G6" s="61">
        <v>0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2">
        <f t="shared" si="0"/>
        <v>0</v>
      </c>
      <c r="O6" s="61">
        <v>0</v>
      </c>
      <c r="P6" s="61">
        <v>0</v>
      </c>
      <c r="Q6" s="61">
        <v>0</v>
      </c>
      <c r="R6" s="61">
        <v>0</v>
      </c>
      <c r="S6" s="61">
        <v>0</v>
      </c>
      <c r="T6" s="61"/>
      <c r="U6" s="61">
        <v>0</v>
      </c>
      <c r="V6" s="61">
        <v>0</v>
      </c>
      <c r="W6" s="63">
        <f t="shared" si="1"/>
        <v>0</v>
      </c>
      <c r="X6" s="64">
        <f t="shared" si="2"/>
        <v>0</v>
      </c>
    </row>
    <row r="7" spans="2:24" ht="23.1" customHeight="1" x14ac:dyDescent="0.3">
      <c r="B7" s="59" t="s">
        <v>2</v>
      </c>
      <c r="C7" s="60" t="s">
        <v>115</v>
      </c>
      <c r="D7" s="60" t="s">
        <v>23</v>
      </c>
      <c r="E7" s="60" t="s">
        <v>86</v>
      </c>
      <c r="F7" s="61">
        <v>6666667</v>
      </c>
      <c r="G7" s="61">
        <v>0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2">
        <f t="shared" si="0"/>
        <v>6666667</v>
      </c>
      <c r="O7" s="61">
        <v>277650</v>
      </c>
      <c r="P7" s="61">
        <v>222190</v>
      </c>
      <c r="Q7" s="61">
        <v>0</v>
      </c>
      <c r="R7" s="61">
        <v>60000</v>
      </c>
      <c r="S7" s="61">
        <v>28770</v>
      </c>
      <c r="T7" s="61"/>
      <c r="U7" s="61">
        <v>445340</v>
      </c>
      <c r="V7" s="61">
        <v>44530</v>
      </c>
      <c r="W7" s="63">
        <f t="shared" si="1"/>
        <v>1078480</v>
      </c>
      <c r="X7" s="64">
        <f t="shared" si="2"/>
        <v>5588187</v>
      </c>
    </row>
    <row r="8" spans="2:24" ht="23.1" customHeight="1" x14ac:dyDescent="0.3">
      <c r="B8" s="59" t="s">
        <v>3</v>
      </c>
      <c r="C8" s="60" t="s">
        <v>116</v>
      </c>
      <c r="D8" s="60" t="s">
        <v>24</v>
      </c>
      <c r="E8" s="60" t="s">
        <v>84</v>
      </c>
      <c r="F8" s="61">
        <v>3158333</v>
      </c>
      <c r="G8" s="61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2">
        <f t="shared" si="0"/>
        <v>3158333</v>
      </c>
      <c r="O8" s="61">
        <v>131170</v>
      </c>
      <c r="P8" s="61">
        <v>104770</v>
      </c>
      <c r="Q8" s="61">
        <v>0</v>
      </c>
      <c r="R8" s="61">
        <v>28420</v>
      </c>
      <c r="S8" s="61">
        <v>13560</v>
      </c>
      <c r="T8" s="61"/>
      <c r="U8" s="61">
        <v>86330</v>
      </c>
      <c r="V8" s="61">
        <v>8630</v>
      </c>
      <c r="W8" s="63">
        <f t="shared" si="1"/>
        <v>372880</v>
      </c>
      <c r="X8" s="64">
        <f t="shared" si="2"/>
        <v>2785453</v>
      </c>
    </row>
    <row r="9" spans="2:24" ht="23.1" customHeight="1" x14ac:dyDescent="0.3">
      <c r="B9" s="59" t="s">
        <v>4</v>
      </c>
      <c r="C9" s="60" t="s">
        <v>117</v>
      </c>
      <c r="D9" s="60" t="s">
        <v>25</v>
      </c>
      <c r="E9" s="60" t="s">
        <v>84</v>
      </c>
      <c r="F9" s="61">
        <v>5466667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2">
        <f t="shared" si="0"/>
        <v>5466667</v>
      </c>
      <c r="O9" s="61">
        <v>244980</v>
      </c>
      <c r="P9" s="61">
        <v>195680</v>
      </c>
      <c r="Q9" s="61">
        <v>0</v>
      </c>
      <c r="R9" s="61">
        <v>49200</v>
      </c>
      <c r="S9" s="61">
        <v>25340</v>
      </c>
      <c r="T9" s="61"/>
      <c r="U9" s="61">
        <v>399980</v>
      </c>
      <c r="V9" s="61">
        <v>39990</v>
      </c>
      <c r="W9" s="63">
        <f t="shared" si="1"/>
        <v>955170</v>
      </c>
      <c r="X9" s="64">
        <f t="shared" si="2"/>
        <v>4511497</v>
      </c>
    </row>
    <row r="10" spans="2:24" ht="23.1" customHeight="1" x14ac:dyDescent="0.3">
      <c r="B10" s="59" t="s">
        <v>5</v>
      </c>
      <c r="C10" s="60" t="s">
        <v>118</v>
      </c>
      <c r="D10" s="60" t="s">
        <v>26</v>
      </c>
      <c r="E10" s="60" t="s">
        <v>86</v>
      </c>
      <c r="F10" s="61">
        <v>3441667</v>
      </c>
      <c r="G10" s="61">
        <v>0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2">
        <f t="shared" si="0"/>
        <v>3441667</v>
      </c>
      <c r="O10" s="61">
        <v>123520</v>
      </c>
      <c r="P10" s="61">
        <v>112250</v>
      </c>
      <c r="Q10" s="61">
        <v>0</v>
      </c>
      <c r="R10" s="61">
        <v>30970</v>
      </c>
      <c r="S10" s="61">
        <v>14530</v>
      </c>
      <c r="T10" s="61"/>
      <c r="U10" s="61">
        <v>119880</v>
      </c>
      <c r="V10" s="61">
        <v>11980</v>
      </c>
      <c r="W10" s="63">
        <f t="shared" si="1"/>
        <v>413130</v>
      </c>
      <c r="X10" s="64">
        <f t="shared" si="2"/>
        <v>3028537</v>
      </c>
    </row>
    <row r="11" spans="2:24" ht="23.1" customHeight="1" x14ac:dyDescent="0.3">
      <c r="B11" s="59" t="s">
        <v>6</v>
      </c>
      <c r="C11" s="60" t="s">
        <v>119</v>
      </c>
      <c r="D11" s="60" t="s">
        <v>27</v>
      </c>
      <c r="E11" s="60" t="s">
        <v>86</v>
      </c>
      <c r="F11" s="61">
        <v>5200000</v>
      </c>
      <c r="G11" s="61">
        <v>0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2">
        <f t="shared" si="0"/>
        <v>5200000</v>
      </c>
      <c r="O11" s="61">
        <v>242410</v>
      </c>
      <c r="P11" s="61">
        <v>193630</v>
      </c>
      <c r="Q11" s="61">
        <v>0</v>
      </c>
      <c r="R11" s="61">
        <v>46800</v>
      </c>
      <c r="S11" s="61">
        <v>25070</v>
      </c>
      <c r="T11" s="61"/>
      <c r="U11" s="61">
        <v>363520</v>
      </c>
      <c r="V11" s="61">
        <v>36350</v>
      </c>
      <c r="W11" s="63">
        <f t="shared" si="1"/>
        <v>907780</v>
      </c>
      <c r="X11" s="64">
        <f t="shared" si="2"/>
        <v>4292220</v>
      </c>
    </row>
    <row r="12" spans="2:24" ht="23.1" customHeight="1" x14ac:dyDescent="0.3">
      <c r="B12" s="59" t="s">
        <v>7</v>
      </c>
      <c r="C12" s="60" t="s">
        <v>120</v>
      </c>
      <c r="D12" s="60" t="s">
        <v>28</v>
      </c>
      <c r="E12" s="60" t="s">
        <v>84</v>
      </c>
      <c r="F12" s="61">
        <v>4041667</v>
      </c>
      <c r="G12" s="61">
        <v>0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2">
        <f t="shared" si="0"/>
        <v>4041667</v>
      </c>
      <c r="O12" s="61">
        <v>170190</v>
      </c>
      <c r="P12" s="61">
        <v>135960</v>
      </c>
      <c r="Q12" s="61">
        <v>0</v>
      </c>
      <c r="R12" s="61">
        <v>36370</v>
      </c>
      <c r="S12" s="61">
        <v>17600</v>
      </c>
      <c r="T12" s="61"/>
      <c r="U12" s="61">
        <v>201300</v>
      </c>
      <c r="V12" s="61">
        <v>20130</v>
      </c>
      <c r="W12" s="63">
        <f t="shared" si="1"/>
        <v>581550</v>
      </c>
      <c r="X12" s="64">
        <f t="shared" si="2"/>
        <v>3460117</v>
      </c>
    </row>
    <row r="13" spans="2:24" ht="23.1" customHeight="1" x14ac:dyDescent="0.3">
      <c r="B13" s="59" t="s">
        <v>9</v>
      </c>
      <c r="C13" s="60" t="s">
        <v>122</v>
      </c>
      <c r="D13" s="60" t="s">
        <v>30</v>
      </c>
      <c r="E13" s="60" t="s">
        <v>87</v>
      </c>
      <c r="F13" s="61">
        <v>4025000</v>
      </c>
      <c r="G13" s="61">
        <v>0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2">
        <f t="shared" si="0"/>
        <v>4025000</v>
      </c>
      <c r="O13" s="61">
        <v>180940</v>
      </c>
      <c r="P13" s="61">
        <v>144550</v>
      </c>
      <c r="Q13" s="61">
        <v>0</v>
      </c>
      <c r="R13" s="61">
        <v>36220</v>
      </c>
      <c r="S13" s="61">
        <v>18720</v>
      </c>
      <c r="T13" s="61"/>
      <c r="U13" s="61">
        <v>198630</v>
      </c>
      <c r="V13" s="61">
        <v>19860</v>
      </c>
      <c r="W13" s="63">
        <f t="shared" si="1"/>
        <v>598920</v>
      </c>
      <c r="X13" s="64">
        <f t="shared" si="2"/>
        <v>3426080</v>
      </c>
    </row>
    <row r="14" spans="2:24" ht="23.1" customHeight="1" x14ac:dyDescent="0.3">
      <c r="B14" s="59" t="s">
        <v>10</v>
      </c>
      <c r="C14" s="60" t="s">
        <v>123</v>
      </c>
      <c r="D14" s="60" t="s">
        <v>31</v>
      </c>
      <c r="E14" s="60" t="s">
        <v>86</v>
      </c>
      <c r="F14" s="61">
        <v>10333333</v>
      </c>
      <c r="G14" s="61">
        <v>0</v>
      </c>
      <c r="H14" s="61">
        <v>0</v>
      </c>
      <c r="I14" s="61">
        <v>0</v>
      </c>
      <c r="J14" s="61">
        <v>0</v>
      </c>
      <c r="K14" s="61">
        <v>0</v>
      </c>
      <c r="L14" s="61">
        <v>0</v>
      </c>
      <c r="M14" s="61">
        <v>0</v>
      </c>
      <c r="N14" s="62">
        <f t="shared" si="0"/>
        <v>10333333</v>
      </c>
      <c r="O14" s="61">
        <v>277650</v>
      </c>
      <c r="P14" s="61">
        <v>390540</v>
      </c>
      <c r="Q14" s="61">
        <v>0</v>
      </c>
      <c r="R14" s="61">
        <v>92990</v>
      </c>
      <c r="S14" s="61">
        <v>50570</v>
      </c>
      <c r="T14" s="61"/>
      <c r="U14" s="61">
        <v>1646730</v>
      </c>
      <c r="V14" s="61">
        <v>164670</v>
      </c>
      <c r="W14" s="63">
        <f t="shared" si="1"/>
        <v>2623150</v>
      </c>
      <c r="X14" s="64">
        <f t="shared" si="2"/>
        <v>7710183</v>
      </c>
    </row>
    <row r="15" spans="2:24" ht="23.1" customHeight="1" x14ac:dyDescent="0.3">
      <c r="B15" s="66">
        <v>41699</v>
      </c>
      <c r="C15" s="60" t="s">
        <v>124</v>
      </c>
      <c r="D15" s="60" t="s">
        <v>32</v>
      </c>
      <c r="E15" s="60" t="s">
        <v>86</v>
      </c>
      <c r="F15" s="61">
        <v>6083333</v>
      </c>
      <c r="G15" s="61">
        <v>0</v>
      </c>
      <c r="H15" s="61">
        <v>0</v>
      </c>
      <c r="I15" s="61">
        <v>0</v>
      </c>
      <c r="J15" s="61">
        <v>0</v>
      </c>
      <c r="K15" s="61">
        <v>0</v>
      </c>
      <c r="L15" s="61">
        <v>0</v>
      </c>
      <c r="M15" s="61">
        <v>0</v>
      </c>
      <c r="N15" s="62">
        <f t="shared" si="0"/>
        <v>6083333</v>
      </c>
      <c r="O15" s="61">
        <v>271530</v>
      </c>
      <c r="P15" s="61">
        <v>216910</v>
      </c>
      <c r="Q15" s="61">
        <v>0</v>
      </c>
      <c r="R15" s="61">
        <v>54740</v>
      </c>
      <c r="S15" s="61">
        <v>28090</v>
      </c>
      <c r="T15" s="61"/>
      <c r="U15" s="61">
        <v>477340</v>
      </c>
      <c r="V15" s="61">
        <v>47730</v>
      </c>
      <c r="W15" s="63">
        <f t="shared" si="1"/>
        <v>1096340</v>
      </c>
      <c r="X15" s="64">
        <f t="shared" si="2"/>
        <v>4986993</v>
      </c>
    </row>
    <row r="16" spans="2:24" ht="23.1" customHeight="1" x14ac:dyDescent="0.3">
      <c r="B16" s="59" t="s">
        <v>11</v>
      </c>
      <c r="C16" s="60" t="s">
        <v>125</v>
      </c>
      <c r="D16" s="60" t="s">
        <v>33</v>
      </c>
      <c r="E16" s="60" t="s">
        <v>87</v>
      </c>
      <c r="F16" s="61">
        <v>3766667</v>
      </c>
      <c r="G16" s="61">
        <v>0</v>
      </c>
      <c r="H16" s="61">
        <v>0</v>
      </c>
      <c r="I16" s="61">
        <v>0</v>
      </c>
      <c r="J16" s="61">
        <v>0</v>
      </c>
      <c r="K16" s="61">
        <v>0</v>
      </c>
      <c r="L16" s="61">
        <v>0</v>
      </c>
      <c r="M16" s="61">
        <v>0</v>
      </c>
      <c r="N16" s="62">
        <f t="shared" si="0"/>
        <v>3766667</v>
      </c>
      <c r="O16" s="61">
        <v>167980</v>
      </c>
      <c r="P16" s="61">
        <v>134200</v>
      </c>
      <c r="Q16" s="61">
        <v>0</v>
      </c>
      <c r="R16" s="61">
        <v>33900</v>
      </c>
      <c r="S16" s="61">
        <v>17370</v>
      </c>
      <c r="T16" s="61"/>
      <c r="U16" s="61">
        <v>163920</v>
      </c>
      <c r="V16" s="61">
        <v>16390</v>
      </c>
      <c r="W16" s="63">
        <f t="shared" si="1"/>
        <v>533760</v>
      </c>
      <c r="X16" s="64">
        <f t="shared" si="2"/>
        <v>3232907</v>
      </c>
    </row>
    <row r="17" spans="2:24" ht="23.1" customHeight="1" x14ac:dyDescent="0.3">
      <c r="B17" s="59" t="s">
        <v>12</v>
      </c>
      <c r="C17" s="60" t="s">
        <v>126</v>
      </c>
      <c r="D17" s="60" t="s">
        <v>34</v>
      </c>
      <c r="E17" s="60" t="s">
        <v>87</v>
      </c>
      <c r="F17" s="61">
        <v>4800000</v>
      </c>
      <c r="G17" s="61">
        <v>0</v>
      </c>
      <c r="H17" s="61">
        <v>50000</v>
      </c>
      <c r="I17" s="61">
        <v>0</v>
      </c>
      <c r="J17" s="61">
        <v>0</v>
      </c>
      <c r="K17" s="61">
        <v>0</v>
      </c>
      <c r="L17" s="61">
        <v>0</v>
      </c>
      <c r="M17" s="61">
        <v>1000000</v>
      </c>
      <c r="N17" s="62">
        <f t="shared" si="0"/>
        <v>5850000</v>
      </c>
      <c r="O17" s="61">
        <v>215050</v>
      </c>
      <c r="P17" s="61">
        <v>171800</v>
      </c>
      <c r="Q17" s="61">
        <v>0</v>
      </c>
      <c r="R17" s="61">
        <v>52650</v>
      </c>
      <c r="S17" s="61">
        <v>22240</v>
      </c>
      <c r="T17" s="61"/>
      <c r="U17" s="61">
        <v>470380</v>
      </c>
      <c r="V17" s="61">
        <v>47030</v>
      </c>
      <c r="W17" s="63">
        <f t="shared" si="1"/>
        <v>979150</v>
      </c>
      <c r="X17" s="64">
        <f t="shared" si="2"/>
        <v>4870850</v>
      </c>
    </row>
    <row r="18" spans="2:24" ht="23.1" customHeight="1" x14ac:dyDescent="0.3">
      <c r="B18" s="59" t="s">
        <v>13</v>
      </c>
      <c r="C18" s="60" t="s">
        <v>127</v>
      </c>
      <c r="D18" s="60" t="s">
        <v>35</v>
      </c>
      <c r="E18" s="60" t="s">
        <v>87</v>
      </c>
      <c r="F18" s="61">
        <v>0</v>
      </c>
      <c r="G18" s="61">
        <v>0</v>
      </c>
      <c r="H18" s="61">
        <v>0</v>
      </c>
      <c r="I18" s="61">
        <v>0</v>
      </c>
      <c r="J18" s="61">
        <v>0</v>
      </c>
      <c r="K18" s="61">
        <v>0</v>
      </c>
      <c r="L18" s="61">
        <v>0</v>
      </c>
      <c r="M18" s="61">
        <v>0</v>
      </c>
      <c r="N18" s="62">
        <f t="shared" si="0"/>
        <v>0</v>
      </c>
      <c r="O18" s="61">
        <v>0</v>
      </c>
      <c r="P18" s="61">
        <v>0</v>
      </c>
      <c r="Q18" s="61">
        <v>0</v>
      </c>
      <c r="R18" s="61">
        <v>0</v>
      </c>
      <c r="S18" s="61">
        <v>0</v>
      </c>
      <c r="T18" s="61"/>
      <c r="U18" s="61">
        <v>0</v>
      </c>
      <c r="V18" s="61">
        <v>0</v>
      </c>
      <c r="W18" s="63">
        <f t="shared" si="1"/>
        <v>0</v>
      </c>
      <c r="X18" s="64">
        <f t="shared" si="2"/>
        <v>0</v>
      </c>
    </row>
    <row r="19" spans="2:24" ht="23.1" customHeight="1" x14ac:dyDescent="0.3">
      <c r="B19" s="59" t="s">
        <v>14</v>
      </c>
      <c r="C19" s="60" t="s">
        <v>128</v>
      </c>
      <c r="D19" s="60" t="s">
        <v>36</v>
      </c>
      <c r="E19" s="60" t="s">
        <v>87</v>
      </c>
      <c r="F19" s="61">
        <v>3441667</v>
      </c>
      <c r="G19" s="61">
        <v>0</v>
      </c>
      <c r="H19" s="61">
        <v>0</v>
      </c>
      <c r="I19" s="61">
        <v>0</v>
      </c>
      <c r="J19" s="61">
        <v>0</v>
      </c>
      <c r="K19" s="61">
        <v>0</v>
      </c>
      <c r="L19" s="61">
        <v>0</v>
      </c>
      <c r="M19" s="61">
        <v>0</v>
      </c>
      <c r="N19" s="62">
        <f t="shared" si="0"/>
        <v>3441667</v>
      </c>
      <c r="O19" s="61">
        <v>150930</v>
      </c>
      <c r="P19" s="61">
        <v>120570</v>
      </c>
      <c r="Q19" s="61">
        <v>0</v>
      </c>
      <c r="R19" s="61">
        <v>30970</v>
      </c>
      <c r="S19" s="61">
        <v>15610</v>
      </c>
      <c r="T19" s="61"/>
      <c r="U19" s="61">
        <v>119880</v>
      </c>
      <c r="V19" s="61">
        <v>11980</v>
      </c>
      <c r="W19" s="63">
        <f t="shared" si="1"/>
        <v>449940</v>
      </c>
      <c r="X19" s="64">
        <f t="shared" si="2"/>
        <v>2991727</v>
      </c>
    </row>
    <row r="20" spans="2:24" ht="23.1" customHeight="1" x14ac:dyDescent="0.3">
      <c r="B20" s="67" t="s">
        <v>16</v>
      </c>
      <c r="C20" s="68" t="s">
        <v>129</v>
      </c>
      <c r="D20" s="68" t="s">
        <v>37</v>
      </c>
      <c r="E20" s="68" t="s">
        <v>86</v>
      </c>
      <c r="F20" s="69">
        <v>3575000</v>
      </c>
      <c r="G20" s="69">
        <v>0</v>
      </c>
      <c r="H20" s="69">
        <v>0</v>
      </c>
      <c r="I20" s="69">
        <v>0</v>
      </c>
      <c r="J20" s="69">
        <v>0</v>
      </c>
      <c r="K20" s="69">
        <v>0</v>
      </c>
      <c r="L20" s="69">
        <v>0</v>
      </c>
      <c r="M20" s="69">
        <v>0</v>
      </c>
      <c r="N20" s="70">
        <f t="shared" si="0"/>
        <v>3575000</v>
      </c>
      <c r="O20" s="61">
        <v>155340</v>
      </c>
      <c r="P20" s="61">
        <v>124090</v>
      </c>
      <c r="Q20" s="61">
        <v>0</v>
      </c>
      <c r="R20" s="61">
        <v>32170</v>
      </c>
      <c r="S20" s="61">
        <v>16070</v>
      </c>
      <c r="T20" s="61"/>
      <c r="U20" s="61">
        <v>134550</v>
      </c>
      <c r="V20" s="61">
        <v>13450</v>
      </c>
      <c r="W20" s="71">
        <f t="shared" si="1"/>
        <v>475670</v>
      </c>
      <c r="X20" s="72">
        <f t="shared" si="2"/>
        <v>3099330</v>
      </c>
    </row>
    <row r="21" spans="2:24" ht="23.1" customHeight="1" x14ac:dyDescent="0.3">
      <c r="B21" s="73">
        <v>44879</v>
      </c>
      <c r="C21" s="74" t="s">
        <v>130</v>
      </c>
      <c r="D21" s="74" t="s">
        <v>38</v>
      </c>
      <c r="E21" s="74" t="s">
        <v>86</v>
      </c>
      <c r="F21" s="69">
        <v>4791667</v>
      </c>
      <c r="G21" s="69">
        <v>0</v>
      </c>
      <c r="H21" s="69">
        <v>0</v>
      </c>
      <c r="I21" s="69">
        <v>0</v>
      </c>
      <c r="J21" s="69">
        <v>0</v>
      </c>
      <c r="K21" s="69">
        <v>0</v>
      </c>
      <c r="L21" s="69">
        <v>0</v>
      </c>
      <c r="M21" s="69">
        <v>0</v>
      </c>
      <c r="N21" s="75">
        <f t="shared" si="0"/>
        <v>4791667</v>
      </c>
      <c r="O21" s="61">
        <v>193410</v>
      </c>
      <c r="P21" s="61">
        <v>154500</v>
      </c>
      <c r="Q21" s="61">
        <v>0</v>
      </c>
      <c r="R21" s="61">
        <v>43120</v>
      </c>
      <c r="S21" s="61">
        <v>20000</v>
      </c>
      <c r="T21" s="61"/>
      <c r="U21" s="61">
        <v>304610</v>
      </c>
      <c r="V21" s="61">
        <v>30460</v>
      </c>
      <c r="W21" s="71">
        <f t="shared" si="1"/>
        <v>746100</v>
      </c>
      <c r="X21" s="72">
        <f t="shared" si="2"/>
        <v>4045567</v>
      </c>
    </row>
    <row r="22" spans="2:24" ht="23.1" customHeight="1" x14ac:dyDescent="0.3">
      <c r="B22" s="73">
        <v>44923</v>
      </c>
      <c r="C22" s="74" t="s">
        <v>131</v>
      </c>
      <c r="D22" s="74" t="s">
        <v>39</v>
      </c>
      <c r="E22" s="74" t="s">
        <v>86</v>
      </c>
      <c r="F22" s="69">
        <v>4041667</v>
      </c>
      <c r="G22" s="69">
        <v>0</v>
      </c>
      <c r="H22" s="69">
        <v>0</v>
      </c>
      <c r="I22" s="69">
        <v>0</v>
      </c>
      <c r="J22" s="69">
        <v>0</v>
      </c>
      <c r="K22" s="69">
        <v>0</v>
      </c>
      <c r="L22" s="69">
        <v>0</v>
      </c>
      <c r="M22" s="69">
        <v>0</v>
      </c>
      <c r="N22" s="75">
        <f t="shared" si="0"/>
        <v>4041667</v>
      </c>
      <c r="O22" s="61">
        <v>141250</v>
      </c>
      <c r="P22" s="61">
        <v>112840</v>
      </c>
      <c r="Q22" s="61">
        <v>0</v>
      </c>
      <c r="R22" s="61">
        <v>36370</v>
      </c>
      <c r="S22" s="61">
        <v>14610</v>
      </c>
      <c r="T22" s="61"/>
      <c r="U22" s="61">
        <v>201300</v>
      </c>
      <c r="V22" s="61">
        <v>20130</v>
      </c>
      <c r="W22" s="69">
        <f t="shared" si="1"/>
        <v>526500</v>
      </c>
      <c r="X22" s="72">
        <f t="shared" si="2"/>
        <v>3515167</v>
      </c>
    </row>
    <row r="23" spans="2:24" ht="23.1" customHeight="1" x14ac:dyDescent="0.3">
      <c r="B23" s="73">
        <v>45034</v>
      </c>
      <c r="C23" s="74" t="s">
        <v>132</v>
      </c>
      <c r="D23" s="74" t="s">
        <v>40</v>
      </c>
      <c r="E23" s="74" t="s">
        <v>87</v>
      </c>
      <c r="F23" s="69">
        <v>2983333</v>
      </c>
      <c r="G23" s="69">
        <v>0</v>
      </c>
      <c r="H23" s="69">
        <v>0</v>
      </c>
      <c r="I23" s="69">
        <v>0</v>
      </c>
      <c r="J23" s="69">
        <v>0</v>
      </c>
      <c r="K23" s="69">
        <v>0</v>
      </c>
      <c r="L23" s="69">
        <v>0</v>
      </c>
      <c r="M23" s="69">
        <v>0</v>
      </c>
      <c r="N23" s="75">
        <f t="shared" si="0"/>
        <v>2983333</v>
      </c>
      <c r="O23" s="69">
        <v>117130</v>
      </c>
      <c r="P23" s="69">
        <v>88170</v>
      </c>
      <c r="Q23" s="69">
        <v>0</v>
      </c>
      <c r="R23" s="69">
        <v>26840</v>
      </c>
      <c r="S23" s="69">
        <v>11410</v>
      </c>
      <c r="T23" s="69"/>
      <c r="U23" s="69">
        <v>72210</v>
      </c>
      <c r="V23" s="69">
        <v>7220</v>
      </c>
      <c r="W23" s="69">
        <f t="shared" si="1"/>
        <v>322980</v>
      </c>
      <c r="X23" s="72">
        <f t="shared" si="2"/>
        <v>2660353</v>
      </c>
    </row>
    <row r="24" spans="2:24" ht="23.1" customHeight="1" x14ac:dyDescent="0.3">
      <c r="B24" s="73">
        <v>45212</v>
      </c>
      <c r="C24" s="74" t="s">
        <v>133</v>
      </c>
      <c r="D24" s="74" t="s">
        <v>41</v>
      </c>
      <c r="E24" s="74" t="s">
        <v>87</v>
      </c>
      <c r="F24" s="69">
        <v>2683333</v>
      </c>
      <c r="G24" s="69">
        <v>0</v>
      </c>
      <c r="H24" s="69">
        <v>0</v>
      </c>
      <c r="I24" s="69">
        <v>0</v>
      </c>
      <c r="J24" s="69">
        <v>0</v>
      </c>
      <c r="K24" s="69">
        <v>0</v>
      </c>
      <c r="L24" s="69">
        <v>0</v>
      </c>
      <c r="M24" s="69">
        <v>0</v>
      </c>
      <c r="N24" s="75">
        <f t="shared" si="0"/>
        <v>2683333</v>
      </c>
      <c r="O24" s="69">
        <v>101020</v>
      </c>
      <c r="P24" s="69">
        <v>70750</v>
      </c>
      <c r="Q24" s="69">
        <v>0</v>
      </c>
      <c r="R24" s="69">
        <v>24140</v>
      </c>
      <c r="S24" s="69">
        <v>9160</v>
      </c>
      <c r="T24" s="69"/>
      <c r="U24" s="69">
        <v>46540</v>
      </c>
      <c r="V24" s="69">
        <v>4650</v>
      </c>
      <c r="W24" s="69">
        <f t="shared" si="1"/>
        <v>256260</v>
      </c>
      <c r="X24" s="72">
        <f t="shared" si="2"/>
        <v>2427073</v>
      </c>
    </row>
    <row r="25" spans="2:24" ht="23.1" customHeight="1" x14ac:dyDescent="0.3">
      <c r="B25" s="66">
        <v>45366</v>
      </c>
      <c r="C25" s="76" t="s">
        <v>134</v>
      </c>
      <c r="D25" s="76" t="s">
        <v>42</v>
      </c>
      <c r="E25" s="76" t="s">
        <v>86</v>
      </c>
      <c r="F25" s="61">
        <v>3166667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1">
        <v>0</v>
      </c>
      <c r="M25" s="61">
        <v>0</v>
      </c>
      <c r="N25" s="75">
        <f t="shared" si="0"/>
        <v>3166667</v>
      </c>
      <c r="O25" s="61">
        <v>119970</v>
      </c>
      <c r="P25" s="61">
        <v>94530</v>
      </c>
      <c r="Q25" s="61">
        <v>0</v>
      </c>
      <c r="R25" s="61">
        <v>28500</v>
      </c>
      <c r="S25" s="61">
        <v>12240</v>
      </c>
      <c r="T25" s="61"/>
      <c r="U25" s="61">
        <v>88040</v>
      </c>
      <c r="V25" s="61">
        <v>8800</v>
      </c>
      <c r="W25" s="69">
        <f t="shared" si="1"/>
        <v>352080</v>
      </c>
      <c r="X25" s="72">
        <f t="shared" si="2"/>
        <v>2814587</v>
      </c>
    </row>
    <row r="26" spans="2:24" ht="23.1" customHeight="1" x14ac:dyDescent="0.3">
      <c r="B26" s="73">
        <v>45366</v>
      </c>
      <c r="C26" s="74" t="s">
        <v>135</v>
      </c>
      <c r="D26" s="74" t="s">
        <v>43</v>
      </c>
      <c r="E26" s="74" t="s">
        <v>86</v>
      </c>
      <c r="F26" s="69">
        <v>3166667</v>
      </c>
      <c r="G26" s="69">
        <v>0</v>
      </c>
      <c r="H26" s="69">
        <v>0</v>
      </c>
      <c r="I26" s="69">
        <v>0</v>
      </c>
      <c r="J26" s="69">
        <v>0</v>
      </c>
      <c r="K26" s="69">
        <v>0</v>
      </c>
      <c r="L26" s="69">
        <v>0</v>
      </c>
      <c r="M26" s="69">
        <v>0</v>
      </c>
      <c r="N26" s="75">
        <f t="shared" si="0"/>
        <v>3166667</v>
      </c>
      <c r="O26" s="69">
        <v>119970</v>
      </c>
      <c r="P26" s="69">
        <v>94530</v>
      </c>
      <c r="Q26" s="69">
        <v>0</v>
      </c>
      <c r="R26" s="69">
        <v>28500</v>
      </c>
      <c r="S26" s="69">
        <v>12240</v>
      </c>
      <c r="T26" s="69"/>
      <c r="U26" s="69">
        <v>88040</v>
      </c>
      <c r="V26" s="69">
        <v>8800</v>
      </c>
      <c r="W26" s="69">
        <f t="shared" si="1"/>
        <v>352080</v>
      </c>
      <c r="X26" s="72">
        <f t="shared" si="2"/>
        <v>2814587</v>
      </c>
    </row>
    <row r="27" spans="2:24" ht="23.1" customHeight="1" x14ac:dyDescent="0.3">
      <c r="B27" s="66">
        <v>45554</v>
      </c>
      <c r="C27" s="60" t="s">
        <v>17</v>
      </c>
      <c r="D27" s="60" t="s">
        <v>44</v>
      </c>
      <c r="E27" s="60" t="s">
        <v>87</v>
      </c>
      <c r="F27" s="61">
        <v>2583333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1">
        <v>61187</v>
      </c>
      <c r="M27" s="61">
        <v>0</v>
      </c>
      <c r="N27" s="77">
        <f t="shared" si="0"/>
        <v>2644520</v>
      </c>
      <c r="O27" s="61">
        <v>108720</v>
      </c>
      <c r="P27" s="61">
        <v>85670</v>
      </c>
      <c r="Q27" s="61">
        <v>0</v>
      </c>
      <c r="R27" s="61">
        <v>23800</v>
      </c>
      <c r="S27" s="61">
        <v>11090</v>
      </c>
      <c r="T27" s="61"/>
      <c r="U27" s="61">
        <v>43110</v>
      </c>
      <c r="V27" s="61">
        <v>4310</v>
      </c>
      <c r="W27" s="61">
        <f t="shared" si="1"/>
        <v>276700</v>
      </c>
      <c r="X27" s="64">
        <f t="shared" si="2"/>
        <v>2367820</v>
      </c>
    </row>
    <row r="28" spans="2:24" ht="23.1" customHeight="1" x14ac:dyDescent="0.3">
      <c r="B28" s="66">
        <v>45593</v>
      </c>
      <c r="C28" s="60" t="s">
        <v>18</v>
      </c>
      <c r="D28" s="60" t="s">
        <v>45</v>
      </c>
      <c r="E28" s="60" t="s">
        <v>87</v>
      </c>
      <c r="F28" s="61">
        <v>2541667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1">
        <v>51080</v>
      </c>
      <c r="M28" s="61">
        <v>0</v>
      </c>
      <c r="N28" s="77">
        <f t="shared" si="0"/>
        <v>2592747</v>
      </c>
      <c r="O28" s="61">
        <v>108720</v>
      </c>
      <c r="P28" s="61">
        <v>85670</v>
      </c>
      <c r="Q28" s="61">
        <v>0</v>
      </c>
      <c r="R28" s="61">
        <v>23330</v>
      </c>
      <c r="S28" s="61">
        <v>11090</v>
      </c>
      <c r="T28" s="61"/>
      <c r="U28" s="61">
        <v>38830</v>
      </c>
      <c r="V28" s="61">
        <v>3880</v>
      </c>
      <c r="W28" s="61">
        <f t="shared" si="1"/>
        <v>271520</v>
      </c>
      <c r="X28" s="64">
        <f t="shared" si="2"/>
        <v>2321227</v>
      </c>
    </row>
    <row r="29" spans="2:24" ht="23.1" customHeight="1" x14ac:dyDescent="0.3">
      <c r="B29" s="66">
        <v>45627</v>
      </c>
      <c r="C29" s="60" t="s">
        <v>19</v>
      </c>
      <c r="D29" s="60" t="s">
        <v>46</v>
      </c>
      <c r="E29" s="60" t="s">
        <v>86</v>
      </c>
      <c r="F29" s="61">
        <v>3083333</v>
      </c>
      <c r="G29" s="61">
        <v>0</v>
      </c>
      <c r="H29" s="61">
        <v>0</v>
      </c>
      <c r="I29" s="61">
        <v>0</v>
      </c>
      <c r="J29" s="61">
        <v>0</v>
      </c>
      <c r="K29" s="61">
        <v>0</v>
      </c>
      <c r="L29" s="61">
        <v>0</v>
      </c>
      <c r="M29" s="61">
        <v>0</v>
      </c>
      <c r="N29" s="77">
        <f t="shared" si="0"/>
        <v>3083333</v>
      </c>
      <c r="O29" s="61">
        <v>138730</v>
      </c>
      <c r="P29" s="61">
        <v>109300</v>
      </c>
      <c r="Q29" s="61">
        <v>0</v>
      </c>
      <c r="R29" s="61">
        <v>27740</v>
      </c>
      <c r="S29" s="61">
        <v>14150</v>
      </c>
      <c r="T29" s="61"/>
      <c r="U29" s="61">
        <v>81190</v>
      </c>
      <c r="V29" s="61">
        <v>8110</v>
      </c>
      <c r="W29" s="61">
        <f t="shared" si="1"/>
        <v>379220</v>
      </c>
      <c r="X29" s="64">
        <f t="shared" si="2"/>
        <v>2704113</v>
      </c>
    </row>
    <row r="30" spans="2:24" ht="23.1" customHeight="1" thickBot="1" x14ac:dyDescent="0.35">
      <c r="B30" s="66">
        <v>45656</v>
      </c>
      <c r="C30" s="60" t="s">
        <v>20</v>
      </c>
      <c r="D30" s="60" t="s">
        <v>47</v>
      </c>
      <c r="E30" s="60" t="s">
        <v>84</v>
      </c>
      <c r="F30" s="61">
        <v>3083333</v>
      </c>
      <c r="G30" s="61">
        <v>0</v>
      </c>
      <c r="H30" s="61">
        <v>0</v>
      </c>
      <c r="I30" s="61">
        <v>0</v>
      </c>
      <c r="J30" s="61">
        <v>0</v>
      </c>
      <c r="K30" s="61">
        <v>0</v>
      </c>
      <c r="L30" s="61">
        <v>0</v>
      </c>
      <c r="M30" s="61">
        <v>0</v>
      </c>
      <c r="N30" s="77">
        <f t="shared" si="0"/>
        <v>3083333</v>
      </c>
      <c r="O30" s="61">
        <v>138730</v>
      </c>
      <c r="P30" s="61">
        <v>109300</v>
      </c>
      <c r="Q30" s="61">
        <v>0</v>
      </c>
      <c r="R30" s="61">
        <v>27740</v>
      </c>
      <c r="S30" s="61">
        <v>14150</v>
      </c>
      <c r="T30" s="61"/>
      <c r="U30" s="61">
        <v>81190</v>
      </c>
      <c r="V30" s="61">
        <v>8110</v>
      </c>
      <c r="W30" s="61">
        <f t="shared" si="1"/>
        <v>379220</v>
      </c>
      <c r="X30" s="64">
        <f t="shared" si="2"/>
        <v>2704113</v>
      </c>
    </row>
    <row r="31" spans="2:24" ht="22.6" customHeight="1" thickBot="1" x14ac:dyDescent="0.35">
      <c r="B31" s="82" t="s">
        <v>97</v>
      </c>
      <c r="C31" s="113" t="s">
        <v>89</v>
      </c>
      <c r="D31" s="91"/>
      <c r="E31" s="84"/>
      <c r="F31" s="85">
        <f t="shared" ref="F31:X31" si="3">SUM(F5:F30)</f>
        <v>126810418</v>
      </c>
      <c r="G31" s="86">
        <f t="shared" si="3"/>
        <v>2000000</v>
      </c>
      <c r="H31" s="86">
        <f t="shared" si="3"/>
        <v>50000</v>
      </c>
      <c r="I31" s="86">
        <f t="shared" si="3"/>
        <v>0</v>
      </c>
      <c r="J31" s="86">
        <f t="shared" si="3"/>
        <v>0</v>
      </c>
      <c r="K31" s="86">
        <f t="shared" si="3"/>
        <v>0</v>
      </c>
      <c r="L31" s="86">
        <f t="shared" si="3"/>
        <v>112267</v>
      </c>
      <c r="M31" s="86">
        <f t="shared" si="3"/>
        <v>1000000</v>
      </c>
      <c r="N31" s="87">
        <f t="shared" si="3"/>
        <v>129972685</v>
      </c>
      <c r="O31" s="88">
        <f t="shared" si="3"/>
        <v>4174640</v>
      </c>
      <c r="P31" s="88">
        <f t="shared" si="3"/>
        <v>4425390</v>
      </c>
      <c r="Q31" s="88">
        <f t="shared" si="3"/>
        <v>0</v>
      </c>
      <c r="R31" s="88">
        <f t="shared" si="3"/>
        <v>875480</v>
      </c>
      <c r="S31" s="88">
        <f t="shared" si="3"/>
        <v>572990</v>
      </c>
      <c r="T31" s="88"/>
      <c r="U31" s="88">
        <f t="shared" si="3"/>
        <v>15542440</v>
      </c>
      <c r="V31" s="88">
        <f t="shared" si="3"/>
        <v>1554150</v>
      </c>
      <c r="W31" s="88">
        <f t="shared" si="3"/>
        <v>27145090</v>
      </c>
      <c r="X31" s="89">
        <f t="shared" si="3"/>
        <v>102827595</v>
      </c>
    </row>
    <row r="32" spans="2:24" x14ac:dyDescent="0.3">
      <c r="B32" s="43"/>
      <c r="C32" s="43"/>
      <c r="D32" s="43"/>
      <c r="E32" s="43"/>
      <c r="F32" s="90"/>
      <c r="G32" s="90"/>
      <c r="H32" s="90"/>
      <c r="I32" s="90"/>
      <c r="J32" s="90"/>
      <c r="K32" s="90"/>
      <c r="L32" s="90"/>
      <c r="M32" s="90"/>
      <c r="N32" s="43"/>
      <c r="O32" s="90"/>
      <c r="P32" s="90"/>
      <c r="Q32" s="90"/>
      <c r="R32" s="90"/>
      <c r="S32" s="90"/>
      <c r="T32" s="90"/>
      <c r="U32" s="90"/>
      <c r="V32" s="90"/>
      <c r="W32" s="90"/>
      <c r="X32" s="90"/>
    </row>
    <row r="33" spans="2:24" x14ac:dyDescent="0.3"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123"/>
      <c r="O33" s="90"/>
      <c r="P33" s="90"/>
      <c r="Q33" s="90"/>
      <c r="R33" s="90"/>
      <c r="S33" s="90"/>
      <c r="T33" s="90"/>
      <c r="U33" s="90"/>
      <c r="V33" s="90"/>
      <c r="W33" s="90"/>
      <c r="X33" s="90"/>
    </row>
    <row r="34" spans="2:24" x14ac:dyDescent="0.3"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65"/>
      <c r="O34" s="90"/>
      <c r="P34" s="90"/>
      <c r="Q34" s="90"/>
      <c r="R34" s="90"/>
      <c r="S34" s="90"/>
      <c r="T34" s="90"/>
      <c r="U34" s="90"/>
      <c r="V34" s="90"/>
      <c r="W34" s="90"/>
      <c r="X34" s="90"/>
    </row>
    <row r="35" spans="2:24" x14ac:dyDescent="0.3"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90"/>
      <c r="P35" s="90"/>
      <c r="Q35" s="90"/>
      <c r="R35" s="90"/>
      <c r="S35" s="90"/>
      <c r="T35" s="90"/>
      <c r="U35" s="90"/>
      <c r="V35" s="90"/>
      <c r="W35" s="90"/>
      <c r="X35" s="90"/>
    </row>
  </sheetData>
  <autoFilter ref="B4:X32" xr:uid="{CF870881-6828-4B9E-BD8F-8408B0354C23}"/>
  <phoneticPr fontId="2" type="noConversion"/>
  <pageMargins left="0.36" right="0.11811023622047245" top="0.74803149606299213" bottom="0.74803149606299213" header="0.31496062992125984" footer="0.31496062992125984"/>
  <pageSetup paperSize="9" scale="5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785DF-794F-4C75-B416-462B42F43B98}">
  <sheetPr codeName="Sheet5"/>
  <dimension ref="B1:X36"/>
  <sheetViews>
    <sheetView showGridLines="0" zoomScale="80" zoomScaleNormal="80" workbookViewId="0"/>
  </sheetViews>
  <sheetFormatPr defaultColWidth="9.08984375" defaultRowHeight="13.45" x14ac:dyDescent="0.3"/>
  <cols>
    <col min="1" max="1" width="2" style="42" customWidth="1"/>
    <col min="2" max="2" width="13.54296875" style="42" bestFit="1" customWidth="1"/>
    <col min="3" max="4" width="20" style="42" bestFit="1" customWidth="1"/>
    <col min="5" max="5" width="14.6328125" style="42" bestFit="1" customWidth="1"/>
    <col min="6" max="7" width="13.6328125" style="42" customWidth="1"/>
    <col min="8" max="11" width="23" style="42" customWidth="1"/>
    <col min="12" max="12" width="14.81640625" style="42" customWidth="1"/>
    <col min="13" max="13" width="15.1796875" style="42" bestFit="1" customWidth="1"/>
    <col min="14" max="14" width="12.6328125" style="42" customWidth="1"/>
    <col min="15" max="15" width="11.54296875" style="42" customWidth="1"/>
    <col min="16" max="16" width="11.453125" style="42" customWidth="1"/>
    <col min="17" max="17" width="19.1796875" style="42" customWidth="1"/>
    <col min="18" max="18" width="11.08984375" style="42" customWidth="1"/>
    <col min="19" max="20" width="15.453125" style="42" customWidth="1"/>
    <col min="21" max="21" width="12.1796875" style="42" customWidth="1"/>
    <col min="22" max="22" width="12.453125" style="42" customWidth="1"/>
    <col min="23" max="23" width="18.453125" style="42" customWidth="1"/>
    <col min="24" max="24" width="20" style="42" customWidth="1"/>
    <col min="25" max="25" width="9.08984375" style="42"/>
    <col min="26" max="26" width="12.6328125" style="42" bestFit="1" customWidth="1"/>
    <col min="27" max="16384" width="9.08984375" style="42"/>
  </cols>
  <sheetData>
    <row r="1" spans="2:24" ht="9.8000000000000007" customHeight="1" x14ac:dyDescent="0.3"/>
    <row r="2" spans="2:24" s="135" customFormat="1" ht="26.35" customHeight="1" x14ac:dyDescent="0.4">
      <c r="B2" s="133" t="s">
        <v>109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</row>
    <row r="3" spans="2:24" ht="20.3" customHeight="1" thickBot="1" x14ac:dyDescent="0.35"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4" t="s">
        <v>83</v>
      </c>
    </row>
    <row r="4" spans="2:24" s="51" customFormat="1" ht="54.3" thickBot="1" x14ac:dyDescent="0.35">
      <c r="B4" s="45" t="s">
        <v>59</v>
      </c>
      <c r="C4" s="46" t="s">
        <v>60</v>
      </c>
      <c r="D4" s="124" t="s">
        <v>61</v>
      </c>
      <c r="E4" s="47" t="s">
        <v>62</v>
      </c>
      <c r="F4" s="48" t="s">
        <v>63</v>
      </c>
      <c r="G4" s="49" t="s">
        <v>64</v>
      </c>
      <c r="H4" s="108" t="s">
        <v>65</v>
      </c>
      <c r="I4" s="49" t="s">
        <v>66</v>
      </c>
      <c r="J4" s="108" t="s">
        <v>67</v>
      </c>
      <c r="K4" s="49" t="s">
        <v>68</v>
      </c>
      <c r="L4" s="108" t="s">
        <v>69</v>
      </c>
      <c r="M4" s="46" t="s">
        <v>70</v>
      </c>
      <c r="N4" s="47" t="s">
        <v>71</v>
      </c>
      <c r="O4" s="109" t="s">
        <v>72</v>
      </c>
      <c r="P4" s="110" t="s">
        <v>73</v>
      </c>
      <c r="Q4" s="110" t="s">
        <v>74</v>
      </c>
      <c r="R4" s="110" t="s">
        <v>75</v>
      </c>
      <c r="S4" s="110" t="s">
        <v>76</v>
      </c>
      <c r="T4" s="50" t="s">
        <v>77</v>
      </c>
      <c r="U4" s="110" t="s">
        <v>79</v>
      </c>
      <c r="V4" s="110" t="s">
        <v>80</v>
      </c>
      <c r="W4" s="49" t="s">
        <v>81</v>
      </c>
      <c r="X4" s="47" t="s">
        <v>82</v>
      </c>
    </row>
    <row r="5" spans="2:24" ht="23.1" customHeight="1" x14ac:dyDescent="0.3">
      <c r="B5" s="52" t="s">
        <v>1</v>
      </c>
      <c r="C5" s="53" t="s">
        <v>0</v>
      </c>
      <c r="D5" s="53" t="str">
        <f>C5</f>
        <v>Shin Jonghoon Bryan</v>
      </c>
      <c r="E5" s="53" t="s">
        <v>85</v>
      </c>
      <c r="F5" s="54">
        <v>30685417</v>
      </c>
      <c r="G5" s="54">
        <v>2000000</v>
      </c>
      <c r="H5" s="54">
        <v>0</v>
      </c>
      <c r="I5" s="54">
        <v>0</v>
      </c>
      <c r="J5" s="54">
        <v>0</v>
      </c>
      <c r="K5" s="54">
        <v>0</v>
      </c>
      <c r="L5" s="54">
        <v>0</v>
      </c>
      <c r="M5" s="54">
        <v>0</v>
      </c>
      <c r="N5" s="55">
        <f t="shared" ref="N5:N31" si="0">SUM(F5:M5)</f>
        <v>32685417</v>
      </c>
      <c r="O5" s="54">
        <v>277650</v>
      </c>
      <c r="P5" s="54">
        <v>1160390</v>
      </c>
      <c r="Q5" s="54">
        <v>828180</v>
      </c>
      <c r="R5" s="54">
        <v>0</v>
      </c>
      <c r="S5" s="54">
        <v>150270</v>
      </c>
      <c r="T5" s="54"/>
      <c r="U5" s="54">
        <v>9669600</v>
      </c>
      <c r="V5" s="54">
        <v>966960</v>
      </c>
      <c r="W5" s="56">
        <f t="shared" ref="W5:W31" si="1">SUM(O5:V5)</f>
        <v>13053050</v>
      </c>
      <c r="X5" s="57">
        <f t="shared" ref="X5:X31" si="2">N5-W5</f>
        <v>19632367</v>
      </c>
    </row>
    <row r="6" spans="2:24" ht="23.1" customHeight="1" x14ac:dyDescent="0.3">
      <c r="B6" s="59" t="s">
        <v>15</v>
      </c>
      <c r="C6" s="60" t="s">
        <v>114</v>
      </c>
      <c r="D6" s="60" t="s">
        <v>22</v>
      </c>
      <c r="E6" s="60" t="s">
        <v>86</v>
      </c>
      <c r="F6" s="61">
        <v>0</v>
      </c>
      <c r="G6" s="61">
        <v>0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2">
        <f t="shared" si="0"/>
        <v>0</v>
      </c>
      <c r="O6" s="61">
        <v>0</v>
      </c>
      <c r="P6" s="61">
        <v>0</v>
      </c>
      <c r="Q6" s="61">
        <v>0</v>
      </c>
      <c r="R6" s="61">
        <v>0</v>
      </c>
      <c r="S6" s="61">
        <v>0</v>
      </c>
      <c r="T6" s="61"/>
      <c r="U6" s="61">
        <v>0</v>
      </c>
      <c r="V6" s="61">
        <v>0</v>
      </c>
      <c r="W6" s="63">
        <f t="shared" si="1"/>
        <v>0</v>
      </c>
      <c r="X6" s="64">
        <f t="shared" si="2"/>
        <v>0</v>
      </c>
    </row>
    <row r="7" spans="2:24" ht="23.1" customHeight="1" x14ac:dyDescent="0.3">
      <c r="B7" s="59" t="s">
        <v>2</v>
      </c>
      <c r="C7" s="60" t="s">
        <v>115</v>
      </c>
      <c r="D7" s="60" t="s">
        <v>23</v>
      </c>
      <c r="E7" s="60" t="s">
        <v>86</v>
      </c>
      <c r="F7" s="61">
        <v>6666667</v>
      </c>
      <c r="G7" s="61">
        <v>0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2">
        <f t="shared" si="0"/>
        <v>6666667</v>
      </c>
      <c r="O7" s="61">
        <v>277650</v>
      </c>
      <c r="P7" s="61">
        <v>241550</v>
      </c>
      <c r="Q7" s="61">
        <v>0</v>
      </c>
      <c r="R7" s="61">
        <v>60000</v>
      </c>
      <c r="S7" s="61">
        <v>31280</v>
      </c>
      <c r="T7" s="61"/>
      <c r="U7" s="61">
        <v>445340</v>
      </c>
      <c r="V7" s="61">
        <v>44530</v>
      </c>
      <c r="W7" s="63">
        <f t="shared" si="1"/>
        <v>1100350</v>
      </c>
      <c r="X7" s="64">
        <f t="shared" si="2"/>
        <v>5566317</v>
      </c>
    </row>
    <row r="8" spans="2:24" ht="23.1" customHeight="1" x14ac:dyDescent="0.3">
      <c r="B8" s="59" t="s">
        <v>3</v>
      </c>
      <c r="C8" s="60" t="s">
        <v>116</v>
      </c>
      <c r="D8" s="60" t="s">
        <v>24</v>
      </c>
      <c r="E8" s="60" t="s">
        <v>84</v>
      </c>
      <c r="F8" s="61">
        <v>3158333</v>
      </c>
      <c r="G8" s="61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2">
        <f t="shared" si="0"/>
        <v>3158333</v>
      </c>
      <c r="O8" s="61">
        <v>131170</v>
      </c>
      <c r="P8" s="61">
        <v>112060</v>
      </c>
      <c r="Q8" s="61">
        <v>0</v>
      </c>
      <c r="R8" s="61">
        <v>28420</v>
      </c>
      <c r="S8" s="61">
        <v>14510</v>
      </c>
      <c r="T8" s="61"/>
      <c r="U8" s="61">
        <v>86330</v>
      </c>
      <c r="V8" s="61">
        <v>8630</v>
      </c>
      <c r="W8" s="63">
        <f t="shared" si="1"/>
        <v>381120</v>
      </c>
      <c r="X8" s="64">
        <f t="shared" si="2"/>
        <v>2777213</v>
      </c>
    </row>
    <row r="9" spans="2:24" ht="23.1" customHeight="1" x14ac:dyDescent="0.3">
      <c r="B9" s="59" t="s">
        <v>4</v>
      </c>
      <c r="C9" s="60" t="s">
        <v>117</v>
      </c>
      <c r="D9" s="60" t="s">
        <v>25</v>
      </c>
      <c r="E9" s="60" t="s">
        <v>84</v>
      </c>
      <c r="F9" s="61">
        <v>5466667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2">
        <f t="shared" si="0"/>
        <v>5466667</v>
      </c>
      <c r="O9" s="61">
        <v>244980</v>
      </c>
      <c r="P9" s="61">
        <v>212350</v>
      </c>
      <c r="Q9" s="61">
        <v>0</v>
      </c>
      <c r="R9" s="61">
        <v>49200</v>
      </c>
      <c r="S9" s="61">
        <v>27500</v>
      </c>
      <c r="T9" s="61"/>
      <c r="U9" s="61">
        <v>399980</v>
      </c>
      <c r="V9" s="61">
        <v>39990</v>
      </c>
      <c r="W9" s="63">
        <f t="shared" si="1"/>
        <v>974000</v>
      </c>
      <c r="X9" s="64">
        <f t="shared" si="2"/>
        <v>4492667</v>
      </c>
    </row>
    <row r="10" spans="2:24" ht="23.1" customHeight="1" x14ac:dyDescent="0.3">
      <c r="B10" s="59" t="s">
        <v>5</v>
      </c>
      <c r="C10" s="60" t="s">
        <v>118</v>
      </c>
      <c r="D10" s="60" t="s">
        <v>26</v>
      </c>
      <c r="E10" s="60" t="s">
        <v>86</v>
      </c>
      <c r="F10" s="61">
        <v>3441667</v>
      </c>
      <c r="G10" s="61">
        <v>0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2">
        <f t="shared" si="0"/>
        <v>3441667</v>
      </c>
      <c r="O10" s="61">
        <v>123520</v>
      </c>
      <c r="P10" s="61">
        <v>120230</v>
      </c>
      <c r="Q10" s="61">
        <v>90200</v>
      </c>
      <c r="R10" s="61">
        <v>30970</v>
      </c>
      <c r="S10" s="61">
        <v>15570</v>
      </c>
      <c r="T10" s="61"/>
      <c r="U10" s="61">
        <v>119880</v>
      </c>
      <c r="V10" s="61">
        <v>11980</v>
      </c>
      <c r="W10" s="63">
        <f t="shared" si="1"/>
        <v>512350</v>
      </c>
      <c r="X10" s="64">
        <f t="shared" si="2"/>
        <v>2929317</v>
      </c>
    </row>
    <row r="11" spans="2:24" ht="23.1" customHeight="1" x14ac:dyDescent="0.3">
      <c r="B11" s="59" t="s">
        <v>6</v>
      </c>
      <c r="C11" s="60" t="s">
        <v>119</v>
      </c>
      <c r="D11" s="60" t="s">
        <v>27</v>
      </c>
      <c r="E11" s="60" t="s">
        <v>86</v>
      </c>
      <c r="F11" s="61">
        <v>5200000</v>
      </c>
      <c r="G11" s="61">
        <v>0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2">
        <f t="shared" si="0"/>
        <v>5200000</v>
      </c>
      <c r="O11" s="61">
        <v>242410</v>
      </c>
      <c r="P11" s="61">
        <v>192800</v>
      </c>
      <c r="Q11" s="61">
        <v>71130</v>
      </c>
      <c r="R11" s="61">
        <v>46800</v>
      </c>
      <c r="S11" s="61">
        <v>24960</v>
      </c>
      <c r="T11" s="61"/>
      <c r="U11" s="61">
        <v>363520</v>
      </c>
      <c r="V11" s="61">
        <v>36350</v>
      </c>
      <c r="W11" s="63">
        <f t="shared" si="1"/>
        <v>977970</v>
      </c>
      <c r="X11" s="64">
        <f t="shared" si="2"/>
        <v>4222030</v>
      </c>
    </row>
    <row r="12" spans="2:24" ht="23.1" customHeight="1" x14ac:dyDescent="0.3">
      <c r="B12" s="59" t="s">
        <v>7</v>
      </c>
      <c r="C12" s="60" t="s">
        <v>120</v>
      </c>
      <c r="D12" s="60" t="s">
        <v>28</v>
      </c>
      <c r="E12" s="60" t="s">
        <v>84</v>
      </c>
      <c r="F12" s="61">
        <v>4041667</v>
      </c>
      <c r="G12" s="61">
        <v>0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2">
        <f t="shared" si="0"/>
        <v>4041667</v>
      </c>
      <c r="O12" s="61">
        <v>170190</v>
      </c>
      <c r="P12" s="61">
        <v>136260</v>
      </c>
      <c r="Q12" s="61">
        <v>79020</v>
      </c>
      <c r="R12" s="61">
        <v>36370</v>
      </c>
      <c r="S12" s="61">
        <v>17640</v>
      </c>
      <c r="T12" s="61"/>
      <c r="U12" s="61">
        <v>201300</v>
      </c>
      <c r="V12" s="61">
        <v>20130</v>
      </c>
      <c r="W12" s="63">
        <f t="shared" si="1"/>
        <v>660910</v>
      </c>
      <c r="X12" s="64">
        <f t="shared" si="2"/>
        <v>3380757</v>
      </c>
    </row>
    <row r="13" spans="2:24" ht="23.1" customHeight="1" x14ac:dyDescent="0.3">
      <c r="B13" s="59" t="s">
        <v>9</v>
      </c>
      <c r="C13" s="60" t="s">
        <v>122</v>
      </c>
      <c r="D13" s="60" t="s">
        <v>30</v>
      </c>
      <c r="E13" s="60" t="s">
        <v>87</v>
      </c>
      <c r="F13" s="61">
        <v>4025000</v>
      </c>
      <c r="G13" s="61">
        <v>0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2">
        <f t="shared" si="0"/>
        <v>4025000</v>
      </c>
      <c r="O13" s="61">
        <v>180940</v>
      </c>
      <c r="P13" s="61">
        <v>151880</v>
      </c>
      <c r="Q13" s="61">
        <v>128880</v>
      </c>
      <c r="R13" s="61">
        <v>36220</v>
      </c>
      <c r="S13" s="61">
        <v>19660</v>
      </c>
      <c r="T13" s="61"/>
      <c r="U13" s="61">
        <v>198630</v>
      </c>
      <c r="V13" s="61">
        <v>19860</v>
      </c>
      <c r="W13" s="63">
        <f t="shared" si="1"/>
        <v>736070</v>
      </c>
      <c r="X13" s="64">
        <f t="shared" si="2"/>
        <v>3288930</v>
      </c>
    </row>
    <row r="14" spans="2:24" ht="23.1" customHeight="1" x14ac:dyDescent="0.3">
      <c r="B14" s="59" t="s">
        <v>10</v>
      </c>
      <c r="C14" s="60" t="s">
        <v>123</v>
      </c>
      <c r="D14" s="60" t="s">
        <v>31</v>
      </c>
      <c r="E14" s="60" t="s">
        <v>86</v>
      </c>
      <c r="F14" s="61">
        <v>10333333</v>
      </c>
      <c r="G14" s="61">
        <v>0</v>
      </c>
      <c r="H14" s="61">
        <v>0</v>
      </c>
      <c r="I14" s="61">
        <v>0</v>
      </c>
      <c r="J14" s="61">
        <v>0</v>
      </c>
      <c r="K14" s="61">
        <v>0</v>
      </c>
      <c r="L14" s="61">
        <v>0</v>
      </c>
      <c r="M14" s="61">
        <v>0</v>
      </c>
      <c r="N14" s="62">
        <f t="shared" si="0"/>
        <v>10333333</v>
      </c>
      <c r="O14" s="61">
        <v>277650</v>
      </c>
      <c r="P14" s="61">
        <v>390540</v>
      </c>
      <c r="Q14" s="61">
        <v>12030</v>
      </c>
      <c r="R14" s="61">
        <v>92990</v>
      </c>
      <c r="S14" s="61">
        <v>50570</v>
      </c>
      <c r="T14" s="61"/>
      <c r="U14" s="61">
        <v>1646730</v>
      </c>
      <c r="V14" s="61">
        <v>164670</v>
      </c>
      <c r="W14" s="63">
        <f t="shared" si="1"/>
        <v>2635180</v>
      </c>
      <c r="X14" s="64">
        <f t="shared" si="2"/>
        <v>7698153</v>
      </c>
    </row>
    <row r="15" spans="2:24" ht="23.1" customHeight="1" x14ac:dyDescent="0.3">
      <c r="B15" s="66">
        <v>41699</v>
      </c>
      <c r="C15" s="60" t="s">
        <v>124</v>
      </c>
      <c r="D15" s="60" t="s">
        <v>32</v>
      </c>
      <c r="E15" s="60" t="s">
        <v>86</v>
      </c>
      <c r="F15" s="61">
        <v>6083333</v>
      </c>
      <c r="G15" s="61">
        <v>0</v>
      </c>
      <c r="H15" s="61">
        <v>0</v>
      </c>
      <c r="I15" s="61">
        <v>0</v>
      </c>
      <c r="J15" s="61">
        <v>0</v>
      </c>
      <c r="K15" s="61">
        <v>0</v>
      </c>
      <c r="L15" s="61">
        <v>0</v>
      </c>
      <c r="M15" s="61">
        <v>0</v>
      </c>
      <c r="N15" s="62">
        <f t="shared" si="0"/>
        <v>6083333</v>
      </c>
      <c r="O15" s="61">
        <v>271530</v>
      </c>
      <c r="P15" s="61">
        <v>222110</v>
      </c>
      <c r="Q15" s="61">
        <v>131520</v>
      </c>
      <c r="R15" s="61">
        <v>54740</v>
      </c>
      <c r="S15" s="61">
        <v>28760</v>
      </c>
      <c r="T15" s="61"/>
      <c r="U15" s="61">
        <v>477340</v>
      </c>
      <c r="V15" s="61">
        <v>47730</v>
      </c>
      <c r="W15" s="63">
        <f t="shared" si="1"/>
        <v>1233730</v>
      </c>
      <c r="X15" s="64">
        <f t="shared" si="2"/>
        <v>4849603</v>
      </c>
    </row>
    <row r="16" spans="2:24" ht="23.1" customHeight="1" x14ac:dyDescent="0.3">
      <c r="B16" s="59" t="s">
        <v>11</v>
      </c>
      <c r="C16" s="60" t="s">
        <v>125</v>
      </c>
      <c r="D16" s="60" t="s">
        <v>33</v>
      </c>
      <c r="E16" s="60" t="s">
        <v>87</v>
      </c>
      <c r="F16" s="61">
        <v>3766667</v>
      </c>
      <c r="G16" s="61">
        <v>0</v>
      </c>
      <c r="H16" s="61">
        <v>0</v>
      </c>
      <c r="I16" s="61">
        <v>0</v>
      </c>
      <c r="J16" s="61">
        <v>0</v>
      </c>
      <c r="K16" s="61">
        <v>0</v>
      </c>
      <c r="L16" s="61">
        <v>0</v>
      </c>
      <c r="M16" s="61">
        <v>0</v>
      </c>
      <c r="N16" s="62">
        <f t="shared" si="0"/>
        <v>3766667</v>
      </c>
      <c r="O16" s="61">
        <v>167980</v>
      </c>
      <c r="P16" s="61">
        <v>142860</v>
      </c>
      <c r="Q16" s="61">
        <v>159960</v>
      </c>
      <c r="R16" s="61">
        <v>33900</v>
      </c>
      <c r="S16" s="61">
        <v>18500</v>
      </c>
      <c r="T16" s="61"/>
      <c r="U16" s="61">
        <v>163920</v>
      </c>
      <c r="V16" s="61">
        <v>16390</v>
      </c>
      <c r="W16" s="63">
        <f t="shared" si="1"/>
        <v>703510</v>
      </c>
      <c r="X16" s="64">
        <f t="shared" si="2"/>
        <v>3063157</v>
      </c>
    </row>
    <row r="17" spans="2:24" ht="23.1" customHeight="1" x14ac:dyDescent="0.3">
      <c r="B17" s="59" t="s">
        <v>12</v>
      </c>
      <c r="C17" s="60" t="s">
        <v>126</v>
      </c>
      <c r="D17" s="60" t="s">
        <v>34</v>
      </c>
      <c r="E17" s="60" t="s">
        <v>87</v>
      </c>
      <c r="F17" s="61">
        <v>4800000</v>
      </c>
      <c r="G17" s="61">
        <v>0</v>
      </c>
      <c r="H17" s="61">
        <v>50000</v>
      </c>
      <c r="I17" s="61">
        <v>0</v>
      </c>
      <c r="J17" s="61">
        <v>0</v>
      </c>
      <c r="K17" s="61">
        <v>0</v>
      </c>
      <c r="L17" s="61">
        <v>0</v>
      </c>
      <c r="M17" s="61">
        <v>0</v>
      </c>
      <c r="N17" s="62">
        <f t="shared" si="0"/>
        <v>4850000</v>
      </c>
      <c r="O17" s="61">
        <v>215050</v>
      </c>
      <c r="P17" s="61">
        <v>179300</v>
      </c>
      <c r="Q17" s="61">
        <v>148860</v>
      </c>
      <c r="R17" s="61">
        <v>43650</v>
      </c>
      <c r="S17" s="61">
        <v>23220</v>
      </c>
      <c r="T17" s="61"/>
      <c r="U17" s="61">
        <v>313030</v>
      </c>
      <c r="V17" s="61">
        <v>31300</v>
      </c>
      <c r="W17" s="63">
        <f t="shared" si="1"/>
        <v>954410</v>
      </c>
      <c r="X17" s="64">
        <f t="shared" si="2"/>
        <v>3895590</v>
      </c>
    </row>
    <row r="18" spans="2:24" ht="23.1" customHeight="1" x14ac:dyDescent="0.3">
      <c r="B18" s="59" t="s">
        <v>13</v>
      </c>
      <c r="C18" s="60" t="s">
        <v>127</v>
      </c>
      <c r="D18" s="60" t="s">
        <v>35</v>
      </c>
      <c r="E18" s="60" t="s">
        <v>87</v>
      </c>
      <c r="F18" s="61">
        <v>0</v>
      </c>
      <c r="G18" s="61">
        <v>0</v>
      </c>
      <c r="H18" s="61">
        <v>0</v>
      </c>
      <c r="I18" s="61">
        <v>0</v>
      </c>
      <c r="J18" s="61">
        <v>0</v>
      </c>
      <c r="K18" s="61">
        <v>0</v>
      </c>
      <c r="L18" s="61">
        <v>0</v>
      </c>
      <c r="M18" s="61">
        <v>0</v>
      </c>
      <c r="N18" s="62">
        <f t="shared" si="0"/>
        <v>0</v>
      </c>
      <c r="O18" s="61">
        <v>0</v>
      </c>
      <c r="P18" s="61">
        <v>0</v>
      </c>
      <c r="Q18" s="61">
        <v>0</v>
      </c>
      <c r="R18" s="61">
        <v>0</v>
      </c>
      <c r="S18" s="61">
        <v>0</v>
      </c>
      <c r="T18" s="61"/>
      <c r="U18" s="61">
        <v>0</v>
      </c>
      <c r="V18" s="61">
        <v>0</v>
      </c>
      <c r="W18" s="63">
        <f t="shared" si="1"/>
        <v>0</v>
      </c>
      <c r="X18" s="64">
        <f t="shared" si="2"/>
        <v>0</v>
      </c>
    </row>
    <row r="19" spans="2:24" ht="23.1" customHeight="1" x14ac:dyDescent="0.3">
      <c r="B19" s="59" t="s">
        <v>14</v>
      </c>
      <c r="C19" s="60" t="s">
        <v>128</v>
      </c>
      <c r="D19" s="60" t="s">
        <v>36</v>
      </c>
      <c r="E19" s="60" t="s">
        <v>87</v>
      </c>
      <c r="F19" s="61">
        <v>3441667</v>
      </c>
      <c r="G19" s="61">
        <v>0</v>
      </c>
      <c r="H19" s="61">
        <v>0</v>
      </c>
      <c r="I19" s="61">
        <v>0</v>
      </c>
      <c r="J19" s="61">
        <v>0</v>
      </c>
      <c r="K19" s="61">
        <v>0</v>
      </c>
      <c r="L19" s="61">
        <v>0</v>
      </c>
      <c r="M19" s="61">
        <v>0</v>
      </c>
      <c r="N19" s="62">
        <f t="shared" si="0"/>
        <v>3441667</v>
      </c>
      <c r="O19" s="61">
        <v>150930</v>
      </c>
      <c r="P19" s="61">
        <v>126910</v>
      </c>
      <c r="Q19" s="61">
        <v>111030</v>
      </c>
      <c r="R19" s="61">
        <v>30970</v>
      </c>
      <c r="S19" s="61">
        <v>16430</v>
      </c>
      <c r="T19" s="61"/>
      <c r="U19" s="61">
        <v>119880</v>
      </c>
      <c r="V19" s="61">
        <v>11980</v>
      </c>
      <c r="W19" s="63">
        <f t="shared" si="1"/>
        <v>568130</v>
      </c>
      <c r="X19" s="64">
        <f t="shared" si="2"/>
        <v>2873537</v>
      </c>
    </row>
    <row r="20" spans="2:24" ht="23.1" customHeight="1" x14ac:dyDescent="0.3">
      <c r="B20" s="67" t="s">
        <v>16</v>
      </c>
      <c r="C20" s="68" t="s">
        <v>129</v>
      </c>
      <c r="D20" s="68" t="s">
        <v>37</v>
      </c>
      <c r="E20" s="68" t="s">
        <v>86</v>
      </c>
      <c r="F20" s="69">
        <v>3575000</v>
      </c>
      <c r="G20" s="69">
        <v>0</v>
      </c>
      <c r="H20" s="69">
        <v>0</v>
      </c>
      <c r="I20" s="69">
        <v>0</v>
      </c>
      <c r="J20" s="69">
        <v>0</v>
      </c>
      <c r="K20" s="69">
        <v>0</v>
      </c>
      <c r="L20" s="69">
        <v>0</v>
      </c>
      <c r="M20" s="69">
        <v>0</v>
      </c>
      <c r="N20" s="70">
        <f t="shared" si="0"/>
        <v>3575000</v>
      </c>
      <c r="O20" s="61">
        <v>155340</v>
      </c>
      <c r="P20" s="61">
        <v>131380</v>
      </c>
      <c r="Q20" s="61">
        <v>0</v>
      </c>
      <c r="R20" s="61">
        <v>32170</v>
      </c>
      <c r="S20" s="61">
        <v>17010</v>
      </c>
      <c r="T20" s="61"/>
      <c r="U20" s="61">
        <v>134550</v>
      </c>
      <c r="V20" s="61">
        <v>13450</v>
      </c>
      <c r="W20" s="71">
        <f t="shared" si="1"/>
        <v>483900</v>
      </c>
      <c r="X20" s="72">
        <f t="shared" si="2"/>
        <v>3091100</v>
      </c>
    </row>
    <row r="21" spans="2:24" ht="23.1" customHeight="1" x14ac:dyDescent="0.3">
      <c r="B21" s="73">
        <v>44879</v>
      </c>
      <c r="C21" s="74" t="s">
        <v>130</v>
      </c>
      <c r="D21" s="74" t="s">
        <v>38</v>
      </c>
      <c r="E21" s="74" t="s">
        <v>86</v>
      </c>
      <c r="F21" s="69">
        <v>4791667</v>
      </c>
      <c r="G21" s="69">
        <v>0</v>
      </c>
      <c r="H21" s="69">
        <v>0</v>
      </c>
      <c r="I21" s="69">
        <v>0</v>
      </c>
      <c r="J21" s="69">
        <v>0</v>
      </c>
      <c r="K21" s="69">
        <v>0</v>
      </c>
      <c r="L21" s="69">
        <v>0</v>
      </c>
      <c r="M21" s="69">
        <v>0</v>
      </c>
      <c r="N21" s="75">
        <f t="shared" si="0"/>
        <v>4791667</v>
      </c>
      <c r="O21" s="61">
        <v>193410</v>
      </c>
      <c r="P21" s="61">
        <v>176060</v>
      </c>
      <c r="Q21" s="61">
        <v>0</v>
      </c>
      <c r="R21" s="61">
        <v>43120</v>
      </c>
      <c r="S21" s="61">
        <v>22800</v>
      </c>
      <c r="T21" s="61"/>
      <c r="U21" s="61">
        <v>304610</v>
      </c>
      <c r="V21" s="61">
        <v>30460</v>
      </c>
      <c r="W21" s="71">
        <f t="shared" si="1"/>
        <v>770460</v>
      </c>
      <c r="X21" s="72">
        <f t="shared" si="2"/>
        <v>4021207</v>
      </c>
    </row>
    <row r="22" spans="2:24" ht="23.1" customHeight="1" x14ac:dyDescent="0.3">
      <c r="B22" s="73">
        <v>44923</v>
      </c>
      <c r="C22" s="74" t="s">
        <v>131</v>
      </c>
      <c r="D22" s="74" t="s">
        <v>39</v>
      </c>
      <c r="E22" s="74" t="s">
        <v>86</v>
      </c>
      <c r="F22" s="69">
        <v>4041667</v>
      </c>
      <c r="G22" s="69">
        <v>0</v>
      </c>
      <c r="H22" s="69">
        <v>0</v>
      </c>
      <c r="I22" s="69">
        <v>0</v>
      </c>
      <c r="J22" s="69">
        <v>0</v>
      </c>
      <c r="K22" s="69">
        <v>0</v>
      </c>
      <c r="L22" s="69">
        <v>0</v>
      </c>
      <c r="M22" s="69">
        <v>0</v>
      </c>
      <c r="N22" s="75">
        <f t="shared" si="0"/>
        <v>4041667</v>
      </c>
      <c r="O22" s="61">
        <v>141250</v>
      </c>
      <c r="P22" s="61">
        <v>128990</v>
      </c>
      <c r="Q22" s="61">
        <v>0</v>
      </c>
      <c r="R22" s="61">
        <v>36370</v>
      </c>
      <c r="S22" s="61">
        <v>16700</v>
      </c>
      <c r="T22" s="61"/>
      <c r="U22" s="61">
        <v>201300</v>
      </c>
      <c r="V22" s="61">
        <v>20130</v>
      </c>
      <c r="W22" s="69">
        <f t="shared" si="1"/>
        <v>544740</v>
      </c>
      <c r="X22" s="72">
        <f t="shared" si="2"/>
        <v>3496927</v>
      </c>
    </row>
    <row r="23" spans="2:24" ht="23.1" customHeight="1" x14ac:dyDescent="0.3">
      <c r="B23" s="73">
        <v>45034</v>
      </c>
      <c r="C23" s="74" t="s">
        <v>132</v>
      </c>
      <c r="D23" s="74" t="s">
        <v>40</v>
      </c>
      <c r="E23" s="74" t="s">
        <v>87</v>
      </c>
      <c r="F23" s="69">
        <v>2983333</v>
      </c>
      <c r="G23" s="69">
        <v>0</v>
      </c>
      <c r="H23" s="69">
        <v>0</v>
      </c>
      <c r="I23" s="69">
        <v>0</v>
      </c>
      <c r="J23" s="69">
        <v>0</v>
      </c>
      <c r="K23" s="69">
        <v>0</v>
      </c>
      <c r="L23" s="69">
        <v>0</v>
      </c>
      <c r="M23" s="69">
        <v>0</v>
      </c>
      <c r="N23" s="75">
        <f t="shared" si="0"/>
        <v>2983333</v>
      </c>
      <c r="O23" s="69">
        <v>117130</v>
      </c>
      <c r="P23" s="69">
        <v>107750</v>
      </c>
      <c r="Q23" s="69">
        <v>0</v>
      </c>
      <c r="R23" s="69">
        <v>26840</v>
      </c>
      <c r="S23" s="69">
        <v>13950</v>
      </c>
      <c r="T23" s="69"/>
      <c r="U23" s="69">
        <v>72210</v>
      </c>
      <c r="V23" s="69">
        <v>7220</v>
      </c>
      <c r="W23" s="69">
        <f t="shared" si="1"/>
        <v>345100</v>
      </c>
      <c r="X23" s="72">
        <f t="shared" si="2"/>
        <v>2638233</v>
      </c>
    </row>
    <row r="24" spans="2:24" ht="23.1" customHeight="1" x14ac:dyDescent="0.3">
      <c r="B24" s="73">
        <v>45212</v>
      </c>
      <c r="C24" s="74" t="s">
        <v>133</v>
      </c>
      <c r="D24" s="74" t="s">
        <v>41</v>
      </c>
      <c r="E24" s="74" t="s">
        <v>87</v>
      </c>
      <c r="F24" s="69">
        <v>2683333</v>
      </c>
      <c r="G24" s="69">
        <v>0</v>
      </c>
      <c r="H24" s="69">
        <v>0</v>
      </c>
      <c r="I24" s="69">
        <v>0</v>
      </c>
      <c r="J24" s="69">
        <v>0</v>
      </c>
      <c r="K24" s="69">
        <v>0</v>
      </c>
      <c r="L24" s="69">
        <v>0</v>
      </c>
      <c r="M24" s="69">
        <v>0</v>
      </c>
      <c r="N24" s="75">
        <f t="shared" si="0"/>
        <v>2683333</v>
      </c>
      <c r="O24" s="69">
        <v>101020</v>
      </c>
      <c r="P24" s="69">
        <v>92020</v>
      </c>
      <c r="Q24" s="69">
        <v>0</v>
      </c>
      <c r="R24" s="69">
        <v>24140</v>
      </c>
      <c r="S24" s="69">
        <v>11910</v>
      </c>
      <c r="T24" s="69"/>
      <c r="U24" s="69">
        <v>46540</v>
      </c>
      <c r="V24" s="69">
        <v>4650</v>
      </c>
      <c r="W24" s="69">
        <f t="shared" si="1"/>
        <v>280280</v>
      </c>
      <c r="X24" s="72">
        <f t="shared" si="2"/>
        <v>2403053</v>
      </c>
    </row>
    <row r="25" spans="2:24" ht="23.1" customHeight="1" x14ac:dyDescent="0.3">
      <c r="B25" s="66">
        <v>45366</v>
      </c>
      <c r="C25" s="76" t="s">
        <v>134</v>
      </c>
      <c r="D25" s="76" t="s">
        <v>42</v>
      </c>
      <c r="E25" s="76" t="s">
        <v>86</v>
      </c>
      <c r="F25" s="61">
        <v>3166667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1">
        <v>0</v>
      </c>
      <c r="M25" s="61">
        <v>0</v>
      </c>
      <c r="N25" s="75">
        <f t="shared" si="0"/>
        <v>3166667</v>
      </c>
      <c r="O25" s="61">
        <v>119970</v>
      </c>
      <c r="P25" s="61">
        <v>103780</v>
      </c>
      <c r="Q25" s="61">
        <v>94050</v>
      </c>
      <c r="R25" s="61">
        <v>28500</v>
      </c>
      <c r="S25" s="61">
        <v>13440</v>
      </c>
      <c r="T25" s="61"/>
      <c r="U25" s="61">
        <v>88040</v>
      </c>
      <c r="V25" s="61">
        <v>8800</v>
      </c>
      <c r="W25" s="69">
        <f t="shared" si="1"/>
        <v>456580</v>
      </c>
      <c r="X25" s="72">
        <f t="shared" si="2"/>
        <v>2710087</v>
      </c>
    </row>
    <row r="26" spans="2:24" ht="23.1" customHeight="1" x14ac:dyDescent="0.3">
      <c r="B26" s="73">
        <v>45366</v>
      </c>
      <c r="C26" s="74" t="s">
        <v>135</v>
      </c>
      <c r="D26" s="74" t="s">
        <v>43</v>
      </c>
      <c r="E26" s="74" t="s">
        <v>86</v>
      </c>
      <c r="F26" s="69">
        <v>3166667</v>
      </c>
      <c r="G26" s="69">
        <v>0</v>
      </c>
      <c r="H26" s="69">
        <v>0</v>
      </c>
      <c r="I26" s="69">
        <v>0</v>
      </c>
      <c r="J26" s="69">
        <v>0</v>
      </c>
      <c r="K26" s="69">
        <v>0</v>
      </c>
      <c r="L26" s="69">
        <v>0</v>
      </c>
      <c r="M26" s="69">
        <v>0</v>
      </c>
      <c r="N26" s="75">
        <f t="shared" si="0"/>
        <v>3166667</v>
      </c>
      <c r="O26" s="69">
        <v>119970</v>
      </c>
      <c r="P26" s="69">
        <v>97700</v>
      </c>
      <c r="Q26" s="69">
        <v>32220</v>
      </c>
      <c r="R26" s="69">
        <v>28500</v>
      </c>
      <c r="S26" s="69">
        <v>12650</v>
      </c>
      <c r="T26" s="69"/>
      <c r="U26" s="69">
        <v>88040</v>
      </c>
      <c r="V26" s="69">
        <v>8800</v>
      </c>
      <c r="W26" s="69">
        <f t="shared" si="1"/>
        <v>387880</v>
      </c>
      <c r="X26" s="72">
        <f t="shared" si="2"/>
        <v>2778787</v>
      </c>
    </row>
    <row r="27" spans="2:24" ht="23.1" customHeight="1" x14ac:dyDescent="0.3">
      <c r="B27" s="66">
        <v>45554</v>
      </c>
      <c r="C27" s="60" t="s">
        <v>17</v>
      </c>
      <c r="D27" s="60" t="s">
        <v>44</v>
      </c>
      <c r="E27" s="60" t="s">
        <v>87</v>
      </c>
      <c r="F27" s="61">
        <v>2583333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1">
        <v>38937</v>
      </c>
      <c r="M27" s="61">
        <v>0</v>
      </c>
      <c r="N27" s="77">
        <f t="shared" si="0"/>
        <v>2622270</v>
      </c>
      <c r="O27" s="61">
        <v>108720</v>
      </c>
      <c r="P27" s="61">
        <v>73050</v>
      </c>
      <c r="Q27" s="61">
        <v>-42750</v>
      </c>
      <c r="R27" s="61">
        <v>23600</v>
      </c>
      <c r="S27" s="61">
        <v>9460</v>
      </c>
      <c r="T27" s="61"/>
      <c r="U27" s="61">
        <v>43110</v>
      </c>
      <c r="V27" s="61">
        <v>4310</v>
      </c>
      <c r="W27" s="61">
        <f t="shared" si="1"/>
        <v>219500</v>
      </c>
      <c r="X27" s="64">
        <f t="shared" si="2"/>
        <v>2402770</v>
      </c>
    </row>
    <row r="28" spans="2:24" ht="23.1" customHeight="1" x14ac:dyDescent="0.3">
      <c r="B28" s="66">
        <v>45593</v>
      </c>
      <c r="C28" s="60" t="s">
        <v>18</v>
      </c>
      <c r="D28" s="60" t="s">
        <v>45</v>
      </c>
      <c r="E28" s="60" t="s">
        <v>87</v>
      </c>
      <c r="F28" s="61">
        <v>2541667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1">
        <v>52905</v>
      </c>
      <c r="M28" s="61">
        <v>0</v>
      </c>
      <c r="N28" s="77">
        <f t="shared" si="0"/>
        <v>2594572</v>
      </c>
      <c r="O28" s="61">
        <v>108720</v>
      </c>
      <c r="P28" s="61">
        <v>91190</v>
      </c>
      <c r="Q28" s="61">
        <v>12460</v>
      </c>
      <c r="R28" s="61">
        <v>23350</v>
      </c>
      <c r="S28" s="61">
        <v>11800</v>
      </c>
      <c r="T28" s="61"/>
      <c r="U28" s="61">
        <v>38830</v>
      </c>
      <c r="V28" s="61">
        <v>3880</v>
      </c>
      <c r="W28" s="61">
        <f t="shared" si="1"/>
        <v>290230</v>
      </c>
      <c r="X28" s="64">
        <f t="shared" si="2"/>
        <v>2304342</v>
      </c>
    </row>
    <row r="29" spans="2:24" ht="23.1" customHeight="1" x14ac:dyDescent="0.3">
      <c r="B29" s="66">
        <v>45627</v>
      </c>
      <c r="C29" s="60" t="s">
        <v>19</v>
      </c>
      <c r="D29" s="60" t="s">
        <v>46</v>
      </c>
      <c r="E29" s="60" t="s">
        <v>86</v>
      </c>
      <c r="F29" s="61">
        <v>3083333</v>
      </c>
      <c r="G29" s="61">
        <v>0</v>
      </c>
      <c r="H29" s="61">
        <v>0</v>
      </c>
      <c r="I29" s="61">
        <v>0</v>
      </c>
      <c r="J29" s="61">
        <v>0</v>
      </c>
      <c r="K29" s="61">
        <v>0</v>
      </c>
      <c r="L29" s="61">
        <v>0</v>
      </c>
      <c r="M29" s="61">
        <v>0</v>
      </c>
      <c r="N29" s="77">
        <f t="shared" si="0"/>
        <v>3083333</v>
      </c>
      <c r="O29" s="61">
        <v>138730</v>
      </c>
      <c r="P29" s="61">
        <v>109300</v>
      </c>
      <c r="Q29" s="61">
        <v>0</v>
      </c>
      <c r="R29" s="61">
        <v>27740</v>
      </c>
      <c r="S29" s="61">
        <v>14150</v>
      </c>
      <c r="T29" s="61"/>
      <c r="U29" s="61">
        <v>81190</v>
      </c>
      <c r="V29" s="61">
        <v>8110</v>
      </c>
      <c r="W29" s="61">
        <f t="shared" si="1"/>
        <v>379220</v>
      </c>
      <c r="X29" s="64">
        <f t="shared" si="2"/>
        <v>2704113</v>
      </c>
    </row>
    <row r="30" spans="2:24" ht="23.1" customHeight="1" x14ac:dyDescent="0.3">
      <c r="B30" s="66">
        <v>45656</v>
      </c>
      <c r="C30" s="60" t="s">
        <v>20</v>
      </c>
      <c r="D30" s="60" t="s">
        <v>47</v>
      </c>
      <c r="E30" s="60" t="s">
        <v>84</v>
      </c>
      <c r="F30" s="61">
        <v>3083333</v>
      </c>
      <c r="G30" s="61">
        <v>0</v>
      </c>
      <c r="H30" s="61">
        <v>0</v>
      </c>
      <c r="I30" s="61">
        <v>0</v>
      </c>
      <c r="J30" s="61">
        <v>0</v>
      </c>
      <c r="K30" s="61">
        <v>0</v>
      </c>
      <c r="L30" s="61">
        <v>0</v>
      </c>
      <c r="M30" s="61">
        <v>0</v>
      </c>
      <c r="N30" s="77">
        <f t="shared" si="0"/>
        <v>3083333</v>
      </c>
      <c r="O30" s="61">
        <v>138730</v>
      </c>
      <c r="P30" s="61">
        <v>109300</v>
      </c>
      <c r="Q30" s="61">
        <v>0</v>
      </c>
      <c r="R30" s="61">
        <v>27740</v>
      </c>
      <c r="S30" s="61">
        <v>14150</v>
      </c>
      <c r="T30" s="61"/>
      <c r="U30" s="61">
        <v>81190</v>
      </c>
      <c r="V30" s="61">
        <v>8110</v>
      </c>
      <c r="W30" s="61">
        <f t="shared" si="1"/>
        <v>379220</v>
      </c>
      <c r="X30" s="64">
        <f t="shared" si="2"/>
        <v>2704113</v>
      </c>
    </row>
    <row r="31" spans="2:24" ht="23.1" customHeight="1" thickBot="1" x14ac:dyDescent="0.35">
      <c r="B31" s="78">
        <v>45761</v>
      </c>
      <c r="C31" s="102" t="s">
        <v>52</v>
      </c>
      <c r="D31" s="102" t="s">
        <v>53</v>
      </c>
      <c r="E31" s="102" t="s">
        <v>86</v>
      </c>
      <c r="F31" s="79">
        <v>1700000</v>
      </c>
      <c r="G31" s="79">
        <v>0</v>
      </c>
      <c r="H31" s="79">
        <v>0</v>
      </c>
      <c r="I31" s="79">
        <v>0</v>
      </c>
      <c r="J31" s="79">
        <v>0</v>
      </c>
      <c r="K31" s="79">
        <v>0</v>
      </c>
      <c r="L31" s="79">
        <v>0</v>
      </c>
      <c r="M31" s="79">
        <v>0</v>
      </c>
      <c r="N31" s="77">
        <f t="shared" si="0"/>
        <v>1700000</v>
      </c>
      <c r="O31" s="79">
        <v>0</v>
      </c>
      <c r="P31" s="79">
        <v>0</v>
      </c>
      <c r="Q31" s="79">
        <v>0</v>
      </c>
      <c r="R31" s="79">
        <v>15300</v>
      </c>
      <c r="S31" s="79">
        <v>0</v>
      </c>
      <c r="T31" s="79"/>
      <c r="U31" s="79">
        <v>1300</v>
      </c>
      <c r="V31" s="79">
        <v>130</v>
      </c>
      <c r="W31" s="79">
        <f t="shared" si="1"/>
        <v>16730</v>
      </c>
      <c r="X31" s="64">
        <f t="shared" si="2"/>
        <v>1683270</v>
      </c>
    </row>
    <row r="32" spans="2:24" ht="22.6" customHeight="1" thickBot="1" x14ac:dyDescent="0.35">
      <c r="B32" s="82" t="s">
        <v>90</v>
      </c>
      <c r="C32" s="113" t="s">
        <v>89</v>
      </c>
      <c r="D32" s="91"/>
      <c r="E32" s="84"/>
      <c r="F32" s="85">
        <f t="shared" ref="F32:X32" si="3">SUM(F5:F31)</f>
        <v>128510418</v>
      </c>
      <c r="G32" s="86">
        <f t="shared" si="3"/>
        <v>2000000</v>
      </c>
      <c r="H32" s="86">
        <f t="shared" si="3"/>
        <v>50000</v>
      </c>
      <c r="I32" s="86">
        <f t="shared" si="3"/>
        <v>0</v>
      </c>
      <c r="J32" s="86">
        <f t="shared" si="3"/>
        <v>0</v>
      </c>
      <c r="K32" s="86">
        <f t="shared" si="3"/>
        <v>0</v>
      </c>
      <c r="L32" s="86">
        <f t="shared" si="3"/>
        <v>91842</v>
      </c>
      <c r="M32" s="86">
        <f t="shared" si="3"/>
        <v>0</v>
      </c>
      <c r="N32" s="87">
        <f t="shared" si="3"/>
        <v>130652260</v>
      </c>
      <c r="O32" s="88">
        <f t="shared" si="3"/>
        <v>4174640</v>
      </c>
      <c r="P32" s="88">
        <f t="shared" si="3"/>
        <v>4609760</v>
      </c>
      <c r="Q32" s="88">
        <f t="shared" si="3"/>
        <v>1856790</v>
      </c>
      <c r="R32" s="88">
        <f t="shared" si="3"/>
        <v>881600</v>
      </c>
      <c r="S32" s="88">
        <f t="shared" si="3"/>
        <v>596890</v>
      </c>
      <c r="T32" s="88"/>
      <c r="U32" s="88">
        <f t="shared" si="3"/>
        <v>15386390</v>
      </c>
      <c r="V32" s="88">
        <f t="shared" si="3"/>
        <v>1538550</v>
      </c>
      <c r="W32" s="88">
        <f t="shared" si="3"/>
        <v>29044620</v>
      </c>
      <c r="X32" s="89">
        <f t="shared" si="3"/>
        <v>101607640</v>
      </c>
    </row>
    <row r="33" spans="2:24" x14ac:dyDescent="0.3">
      <c r="B33" s="43"/>
      <c r="C33" s="43"/>
      <c r="D33" s="43"/>
      <c r="E33" s="43"/>
      <c r="F33" s="90"/>
      <c r="G33" s="90"/>
      <c r="H33" s="90"/>
      <c r="I33" s="90"/>
      <c r="J33" s="90"/>
      <c r="K33" s="90"/>
      <c r="L33" s="90"/>
      <c r="M33" s="90"/>
      <c r="N33" s="58"/>
      <c r="O33" s="90"/>
      <c r="P33" s="90"/>
      <c r="Q33" s="90"/>
      <c r="R33" s="90"/>
      <c r="S33" s="90"/>
      <c r="T33" s="90"/>
      <c r="U33" s="90"/>
      <c r="V33" s="90"/>
      <c r="W33" s="90"/>
      <c r="X33" s="90"/>
    </row>
    <row r="34" spans="2:24" x14ac:dyDescent="0.3"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123"/>
      <c r="O34" s="90"/>
      <c r="P34" s="90"/>
      <c r="Q34" s="90"/>
      <c r="R34" s="90"/>
      <c r="S34" s="90"/>
      <c r="T34" s="90"/>
      <c r="U34" s="90"/>
      <c r="V34" s="90"/>
      <c r="W34" s="90"/>
      <c r="X34" s="90"/>
    </row>
    <row r="35" spans="2:24" x14ac:dyDescent="0.3"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65"/>
      <c r="O35" s="90"/>
      <c r="P35" s="90"/>
      <c r="Q35" s="90"/>
      <c r="R35" s="90"/>
      <c r="S35" s="90"/>
      <c r="T35" s="90"/>
      <c r="U35" s="90"/>
      <c r="V35" s="90"/>
      <c r="W35" s="90"/>
      <c r="X35" s="90"/>
    </row>
    <row r="36" spans="2:24" x14ac:dyDescent="0.3"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90"/>
      <c r="P36" s="90"/>
      <c r="Q36" s="90"/>
      <c r="R36" s="90"/>
      <c r="S36" s="90"/>
      <c r="T36" s="90"/>
      <c r="U36" s="90"/>
      <c r="V36" s="90"/>
      <c r="W36" s="90"/>
      <c r="X36" s="90"/>
    </row>
  </sheetData>
  <autoFilter ref="B4:X33" xr:uid="{907F1211-68B6-4FA2-B9CA-B465933FA63C}"/>
  <phoneticPr fontId="2" type="noConversion"/>
  <pageMargins left="0.36" right="0.11811023622047245" top="0.74803149606299213" bottom="0.74803149606299213" header="0.31496062992125984" footer="0.31496062992125984"/>
  <pageSetup paperSize="9" scale="5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3CF6B-7F0F-4D74-ADDC-E238F39BB36D}">
  <sheetPr codeName="Sheet6"/>
  <dimension ref="B1:X36"/>
  <sheetViews>
    <sheetView showGridLines="0" zoomScale="80" zoomScaleNormal="80" workbookViewId="0"/>
  </sheetViews>
  <sheetFormatPr defaultColWidth="9.08984375" defaultRowHeight="13.45" x14ac:dyDescent="0.3"/>
  <cols>
    <col min="1" max="1" width="2" style="42" customWidth="1"/>
    <col min="2" max="2" width="13.54296875" style="42" bestFit="1" customWidth="1"/>
    <col min="3" max="4" width="20" style="42" bestFit="1" customWidth="1"/>
    <col min="5" max="5" width="14.6328125" style="42" bestFit="1" customWidth="1"/>
    <col min="6" max="7" width="13.6328125" style="42" customWidth="1"/>
    <col min="8" max="11" width="23" style="42" customWidth="1"/>
    <col min="12" max="12" width="14.81640625" style="42" customWidth="1"/>
    <col min="13" max="13" width="15.1796875" style="42" bestFit="1" customWidth="1"/>
    <col min="14" max="14" width="12.6328125" style="42" customWidth="1"/>
    <col min="15" max="15" width="11.54296875" style="42" customWidth="1"/>
    <col min="16" max="16" width="11.453125" style="42" customWidth="1"/>
    <col min="17" max="17" width="19.1796875" style="42" customWidth="1"/>
    <col min="18" max="18" width="11.08984375" style="42" customWidth="1"/>
    <col min="19" max="20" width="15.453125" style="42" customWidth="1"/>
    <col min="21" max="21" width="12.1796875" style="42" customWidth="1"/>
    <col min="22" max="22" width="12.453125" style="42" customWidth="1"/>
    <col min="23" max="23" width="18.453125" style="42" customWidth="1"/>
    <col min="24" max="24" width="20" style="42" customWidth="1"/>
    <col min="25" max="25" width="9.08984375" style="42"/>
    <col min="26" max="26" width="12.6328125" style="42" bestFit="1" customWidth="1"/>
    <col min="27" max="16384" width="9.08984375" style="42"/>
  </cols>
  <sheetData>
    <row r="1" spans="2:24" ht="9.8000000000000007" customHeight="1" x14ac:dyDescent="0.3"/>
    <row r="2" spans="2:24" s="135" customFormat="1" ht="26.35" customHeight="1" x14ac:dyDescent="0.4">
      <c r="B2" s="133" t="s">
        <v>108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</row>
    <row r="3" spans="2:24" ht="20.3" customHeight="1" thickBot="1" x14ac:dyDescent="0.35"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4" t="s">
        <v>83</v>
      </c>
    </row>
    <row r="4" spans="2:24" s="51" customFormat="1" ht="54.3" thickBot="1" x14ac:dyDescent="0.35">
      <c r="B4" s="45" t="s">
        <v>59</v>
      </c>
      <c r="C4" s="46" t="s">
        <v>60</v>
      </c>
      <c r="D4" s="124" t="s">
        <v>61</v>
      </c>
      <c r="E4" s="47" t="s">
        <v>62</v>
      </c>
      <c r="F4" s="48" t="s">
        <v>63</v>
      </c>
      <c r="G4" s="49" t="s">
        <v>64</v>
      </c>
      <c r="H4" s="108" t="s">
        <v>65</v>
      </c>
      <c r="I4" s="49" t="s">
        <v>66</v>
      </c>
      <c r="J4" s="108" t="s">
        <v>67</v>
      </c>
      <c r="K4" s="49" t="s">
        <v>68</v>
      </c>
      <c r="L4" s="108" t="s">
        <v>69</v>
      </c>
      <c r="M4" s="46" t="s">
        <v>70</v>
      </c>
      <c r="N4" s="47" t="s">
        <v>71</v>
      </c>
      <c r="O4" s="109" t="s">
        <v>72</v>
      </c>
      <c r="P4" s="110" t="s">
        <v>73</v>
      </c>
      <c r="Q4" s="110" t="s">
        <v>74</v>
      </c>
      <c r="R4" s="110" t="s">
        <v>75</v>
      </c>
      <c r="S4" s="110" t="s">
        <v>76</v>
      </c>
      <c r="T4" s="50" t="s">
        <v>77</v>
      </c>
      <c r="U4" s="110" t="s">
        <v>79</v>
      </c>
      <c r="V4" s="110" t="s">
        <v>80</v>
      </c>
      <c r="W4" s="49" t="s">
        <v>81</v>
      </c>
      <c r="X4" s="47" t="s">
        <v>82</v>
      </c>
    </row>
    <row r="5" spans="2:24" ht="23.1" customHeight="1" x14ac:dyDescent="0.3">
      <c r="B5" s="52" t="s">
        <v>1</v>
      </c>
      <c r="C5" s="53" t="s">
        <v>0</v>
      </c>
      <c r="D5" s="53" t="str">
        <f>C5</f>
        <v>Shin Jonghoon Bryan</v>
      </c>
      <c r="E5" s="53" t="s">
        <v>85</v>
      </c>
      <c r="F5" s="54">
        <v>30685417</v>
      </c>
      <c r="G5" s="54">
        <v>2000000</v>
      </c>
      <c r="H5" s="54">
        <v>0</v>
      </c>
      <c r="I5" s="54">
        <v>0</v>
      </c>
      <c r="J5" s="54">
        <v>0</v>
      </c>
      <c r="K5" s="54">
        <v>0</v>
      </c>
      <c r="L5" s="54">
        <v>0</v>
      </c>
      <c r="M5" s="54">
        <v>0</v>
      </c>
      <c r="N5" s="55">
        <f t="shared" ref="N5:N31" si="0">SUM(F5:M5)</f>
        <v>32685417</v>
      </c>
      <c r="O5" s="54">
        <v>277650</v>
      </c>
      <c r="P5" s="54">
        <v>1160390</v>
      </c>
      <c r="Q5" s="54">
        <v>0</v>
      </c>
      <c r="R5" s="54">
        <v>0</v>
      </c>
      <c r="S5" s="54">
        <v>150270</v>
      </c>
      <c r="T5" s="54"/>
      <c r="U5" s="54">
        <v>9669600</v>
      </c>
      <c r="V5" s="54">
        <v>966960</v>
      </c>
      <c r="W5" s="56">
        <f t="shared" ref="W5:W31" si="1">SUM(O5:V5)</f>
        <v>12224870</v>
      </c>
      <c r="X5" s="57">
        <f t="shared" ref="X5:X31" si="2">N5-W5</f>
        <v>20460547</v>
      </c>
    </row>
    <row r="6" spans="2:24" ht="23.1" customHeight="1" x14ac:dyDescent="0.3">
      <c r="B6" s="59" t="s">
        <v>15</v>
      </c>
      <c r="C6" s="60" t="s">
        <v>114</v>
      </c>
      <c r="D6" s="60" t="s">
        <v>22</v>
      </c>
      <c r="E6" s="60" t="s">
        <v>86</v>
      </c>
      <c r="F6" s="61">
        <v>0</v>
      </c>
      <c r="G6" s="61">
        <v>0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2">
        <f t="shared" si="0"/>
        <v>0</v>
      </c>
      <c r="O6" s="61">
        <v>0</v>
      </c>
      <c r="P6" s="61">
        <v>0</v>
      </c>
      <c r="Q6" s="61">
        <v>0</v>
      </c>
      <c r="R6" s="61">
        <v>0</v>
      </c>
      <c r="S6" s="61">
        <v>0</v>
      </c>
      <c r="T6" s="61"/>
      <c r="U6" s="61">
        <v>0</v>
      </c>
      <c r="V6" s="61">
        <v>0</v>
      </c>
      <c r="W6" s="63">
        <f t="shared" si="1"/>
        <v>0</v>
      </c>
      <c r="X6" s="64">
        <f t="shared" si="2"/>
        <v>0</v>
      </c>
    </row>
    <row r="7" spans="2:24" ht="23.1" customHeight="1" x14ac:dyDescent="0.3">
      <c r="B7" s="59" t="s">
        <v>2</v>
      </c>
      <c r="C7" s="60" t="s">
        <v>115</v>
      </c>
      <c r="D7" s="60" t="s">
        <v>23</v>
      </c>
      <c r="E7" s="60" t="s">
        <v>86</v>
      </c>
      <c r="F7" s="61">
        <v>6666667</v>
      </c>
      <c r="G7" s="61">
        <v>0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2">
        <f t="shared" si="0"/>
        <v>6666667</v>
      </c>
      <c r="O7" s="61">
        <v>277650</v>
      </c>
      <c r="P7" s="61">
        <v>241550</v>
      </c>
      <c r="Q7" s="61">
        <v>50230</v>
      </c>
      <c r="R7" s="61">
        <v>60000</v>
      </c>
      <c r="S7" s="61">
        <v>31280</v>
      </c>
      <c r="T7" s="61"/>
      <c r="U7" s="61">
        <v>445340</v>
      </c>
      <c r="V7" s="61">
        <v>44530</v>
      </c>
      <c r="W7" s="63">
        <f t="shared" si="1"/>
        <v>1150580</v>
      </c>
      <c r="X7" s="64">
        <f t="shared" si="2"/>
        <v>5516087</v>
      </c>
    </row>
    <row r="8" spans="2:24" ht="23.1" customHeight="1" x14ac:dyDescent="0.3">
      <c r="B8" s="59" t="s">
        <v>3</v>
      </c>
      <c r="C8" s="60" t="s">
        <v>116</v>
      </c>
      <c r="D8" s="60" t="s">
        <v>24</v>
      </c>
      <c r="E8" s="60" t="s">
        <v>84</v>
      </c>
      <c r="F8" s="61">
        <v>3158333</v>
      </c>
      <c r="G8" s="61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2">
        <f t="shared" si="0"/>
        <v>3158333</v>
      </c>
      <c r="O8" s="61">
        <v>131170</v>
      </c>
      <c r="P8" s="61">
        <v>112060</v>
      </c>
      <c r="Q8" s="61">
        <v>72210</v>
      </c>
      <c r="R8" s="61">
        <v>28420</v>
      </c>
      <c r="S8" s="61">
        <v>14510</v>
      </c>
      <c r="T8" s="61"/>
      <c r="U8" s="61">
        <v>86330</v>
      </c>
      <c r="V8" s="61">
        <v>8630</v>
      </c>
      <c r="W8" s="63">
        <f t="shared" si="1"/>
        <v>453330</v>
      </c>
      <c r="X8" s="64">
        <f t="shared" si="2"/>
        <v>2705003</v>
      </c>
    </row>
    <row r="9" spans="2:24" ht="23.1" customHeight="1" x14ac:dyDescent="0.3">
      <c r="B9" s="59" t="s">
        <v>4</v>
      </c>
      <c r="C9" s="60" t="s">
        <v>117</v>
      </c>
      <c r="D9" s="60" t="s">
        <v>25</v>
      </c>
      <c r="E9" s="60" t="s">
        <v>84</v>
      </c>
      <c r="F9" s="61">
        <v>5466667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2">
        <f t="shared" si="0"/>
        <v>5466667</v>
      </c>
      <c r="O9" s="61">
        <v>244980</v>
      </c>
      <c r="P9" s="61">
        <v>212350</v>
      </c>
      <c r="Q9" s="61">
        <v>149100</v>
      </c>
      <c r="R9" s="61">
        <v>49200</v>
      </c>
      <c r="S9" s="61">
        <v>27500</v>
      </c>
      <c r="T9" s="61"/>
      <c r="U9" s="61">
        <v>399980</v>
      </c>
      <c r="V9" s="61">
        <v>39990</v>
      </c>
      <c r="W9" s="63">
        <f t="shared" si="1"/>
        <v>1123100</v>
      </c>
      <c r="X9" s="64">
        <f t="shared" si="2"/>
        <v>4343567</v>
      </c>
    </row>
    <row r="10" spans="2:24" ht="23.1" customHeight="1" x14ac:dyDescent="0.3">
      <c r="B10" s="59" t="s">
        <v>5</v>
      </c>
      <c r="C10" s="60" t="s">
        <v>118</v>
      </c>
      <c r="D10" s="60" t="s">
        <v>26</v>
      </c>
      <c r="E10" s="60" t="s">
        <v>86</v>
      </c>
      <c r="F10" s="61">
        <v>3441667</v>
      </c>
      <c r="G10" s="61">
        <v>0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2">
        <f t="shared" si="0"/>
        <v>3441667</v>
      </c>
      <c r="O10" s="61">
        <v>123520</v>
      </c>
      <c r="P10" s="61">
        <v>120230</v>
      </c>
      <c r="Q10" s="61">
        <v>0</v>
      </c>
      <c r="R10" s="61">
        <v>30970</v>
      </c>
      <c r="S10" s="61">
        <v>15570</v>
      </c>
      <c r="T10" s="61"/>
      <c r="U10" s="61">
        <v>119880</v>
      </c>
      <c r="V10" s="61">
        <v>11980</v>
      </c>
      <c r="W10" s="63">
        <f t="shared" si="1"/>
        <v>422150</v>
      </c>
      <c r="X10" s="64">
        <f t="shared" si="2"/>
        <v>3019517</v>
      </c>
    </row>
    <row r="11" spans="2:24" ht="23.1" customHeight="1" x14ac:dyDescent="0.3">
      <c r="B11" s="59" t="s">
        <v>6</v>
      </c>
      <c r="C11" s="60" t="s">
        <v>119</v>
      </c>
      <c r="D11" s="60" t="s">
        <v>27</v>
      </c>
      <c r="E11" s="60" t="s">
        <v>86</v>
      </c>
      <c r="F11" s="61">
        <v>5416667</v>
      </c>
      <c r="G11" s="61">
        <v>0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2">
        <f t="shared" si="0"/>
        <v>5416667</v>
      </c>
      <c r="O11" s="61">
        <v>242410</v>
      </c>
      <c r="P11" s="61">
        <v>192800</v>
      </c>
      <c r="Q11" s="61">
        <v>0</v>
      </c>
      <c r="R11" s="61">
        <v>48750</v>
      </c>
      <c r="S11" s="61">
        <v>24960</v>
      </c>
      <c r="T11" s="61"/>
      <c r="U11" s="61">
        <v>362510</v>
      </c>
      <c r="V11" s="61">
        <v>36250</v>
      </c>
      <c r="W11" s="63">
        <f t="shared" si="1"/>
        <v>907680</v>
      </c>
      <c r="X11" s="64">
        <f t="shared" si="2"/>
        <v>4508987</v>
      </c>
    </row>
    <row r="12" spans="2:24" ht="23.1" customHeight="1" x14ac:dyDescent="0.3">
      <c r="B12" s="59" t="s">
        <v>7</v>
      </c>
      <c r="C12" s="60" t="s">
        <v>120</v>
      </c>
      <c r="D12" s="60" t="s">
        <v>28</v>
      </c>
      <c r="E12" s="60" t="s">
        <v>84</v>
      </c>
      <c r="F12" s="61">
        <v>4041667</v>
      </c>
      <c r="G12" s="61">
        <v>0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2">
        <f t="shared" si="0"/>
        <v>4041667</v>
      </c>
      <c r="O12" s="61">
        <v>170190</v>
      </c>
      <c r="P12" s="61">
        <v>136260</v>
      </c>
      <c r="Q12" s="61">
        <v>0</v>
      </c>
      <c r="R12" s="61">
        <v>36370</v>
      </c>
      <c r="S12" s="61">
        <v>17640</v>
      </c>
      <c r="T12" s="61"/>
      <c r="U12" s="61">
        <v>201300</v>
      </c>
      <c r="V12" s="61">
        <v>20130</v>
      </c>
      <c r="W12" s="63">
        <f t="shared" si="1"/>
        <v>581890</v>
      </c>
      <c r="X12" s="64">
        <f t="shared" si="2"/>
        <v>3459777</v>
      </c>
    </row>
    <row r="13" spans="2:24" ht="23.1" customHeight="1" x14ac:dyDescent="0.3">
      <c r="B13" s="59" t="s">
        <v>9</v>
      </c>
      <c r="C13" s="60" t="s">
        <v>122</v>
      </c>
      <c r="D13" s="60" t="s">
        <v>30</v>
      </c>
      <c r="E13" s="60" t="s">
        <v>87</v>
      </c>
      <c r="F13" s="61">
        <v>4025000</v>
      </c>
      <c r="G13" s="61">
        <v>0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2">
        <f t="shared" si="0"/>
        <v>4025000</v>
      </c>
      <c r="O13" s="61">
        <v>180940</v>
      </c>
      <c r="P13" s="61">
        <v>151880</v>
      </c>
      <c r="Q13" s="61">
        <v>0</v>
      </c>
      <c r="R13" s="61">
        <v>36220</v>
      </c>
      <c r="S13" s="61">
        <v>19660</v>
      </c>
      <c r="T13" s="61"/>
      <c r="U13" s="61">
        <v>198630</v>
      </c>
      <c r="V13" s="61">
        <v>19860</v>
      </c>
      <c r="W13" s="63">
        <f t="shared" si="1"/>
        <v>607190</v>
      </c>
      <c r="X13" s="64">
        <f t="shared" si="2"/>
        <v>3417810</v>
      </c>
    </row>
    <row r="14" spans="2:24" ht="23.1" customHeight="1" x14ac:dyDescent="0.3">
      <c r="B14" s="59" t="s">
        <v>10</v>
      </c>
      <c r="C14" s="60" t="s">
        <v>123</v>
      </c>
      <c r="D14" s="60" t="s">
        <v>31</v>
      </c>
      <c r="E14" s="60" t="s">
        <v>86</v>
      </c>
      <c r="F14" s="61">
        <v>10333333</v>
      </c>
      <c r="G14" s="61">
        <v>0</v>
      </c>
      <c r="H14" s="61">
        <v>0</v>
      </c>
      <c r="I14" s="61">
        <v>0</v>
      </c>
      <c r="J14" s="61">
        <v>0</v>
      </c>
      <c r="K14" s="61">
        <v>0</v>
      </c>
      <c r="L14" s="61">
        <v>0</v>
      </c>
      <c r="M14" s="61">
        <v>0</v>
      </c>
      <c r="N14" s="62">
        <f t="shared" si="0"/>
        <v>10333333</v>
      </c>
      <c r="O14" s="61">
        <v>277650</v>
      </c>
      <c r="P14" s="61">
        <v>390540</v>
      </c>
      <c r="Q14" s="61">
        <v>0</v>
      </c>
      <c r="R14" s="61">
        <v>92990</v>
      </c>
      <c r="S14" s="61">
        <v>50570</v>
      </c>
      <c r="T14" s="61"/>
      <c r="U14" s="61">
        <v>1646730</v>
      </c>
      <c r="V14" s="61">
        <v>164670</v>
      </c>
      <c r="W14" s="63">
        <f t="shared" si="1"/>
        <v>2623150</v>
      </c>
      <c r="X14" s="64">
        <f t="shared" si="2"/>
        <v>7710183</v>
      </c>
    </row>
    <row r="15" spans="2:24" ht="23.1" customHeight="1" x14ac:dyDescent="0.3">
      <c r="B15" s="66">
        <v>41699</v>
      </c>
      <c r="C15" s="60" t="s">
        <v>124</v>
      </c>
      <c r="D15" s="60" t="s">
        <v>32</v>
      </c>
      <c r="E15" s="60" t="s">
        <v>86</v>
      </c>
      <c r="F15" s="61">
        <v>6083333</v>
      </c>
      <c r="G15" s="61">
        <v>0</v>
      </c>
      <c r="H15" s="61">
        <v>0</v>
      </c>
      <c r="I15" s="61">
        <v>0</v>
      </c>
      <c r="J15" s="61">
        <v>0</v>
      </c>
      <c r="K15" s="61">
        <v>0</v>
      </c>
      <c r="L15" s="61">
        <v>0</v>
      </c>
      <c r="M15" s="61">
        <v>0</v>
      </c>
      <c r="N15" s="62">
        <f t="shared" si="0"/>
        <v>6083333</v>
      </c>
      <c r="O15" s="61">
        <v>271530</v>
      </c>
      <c r="P15" s="61">
        <v>222110</v>
      </c>
      <c r="Q15" s="61">
        <v>0</v>
      </c>
      <c r="R15" s="61">
        <v>54740</v>
      </c>
      <c r="S15" s="61">
        <v>28760</v>
      </c>
      <c r="T15" s="61"/>
      <c r="U15" s="61">
        <v>477340</v>
      </c>
      <c r="V15" s="61">
        <v>47730</v>
      </c>
      <c r="W15" s="63">
        <f t="shared" si="1"/>
        <v>1102210</v>
      </c>
      <c r="X15" s="64">
        <f t="shared" si="2"/>
        <v>4981123</v>
      </c>
    </row>
    <row r="16" spans="2:24" ht="23.1" customHeight="1" x14ac:dyDescent="0.3">
      <c r="B16" s="59" t="s">
        <v>11</v>
      </c>
      <c r="C16" s="60" t="s">
        <v>125</v>
      </c>
      <c r="D16" s="60" t="s">
        <v>33</v>
      </c>
      <c r="E16" s="60" t="s">
        <v>87</v>
      </c>
      <c r="F16" s="61">
        <v>3766667</v>
      </c>
      <c r="G16" s="61">
        <v>0</v>
      </c>
      <c r="H16" s="61">
        <v>0</v>
      </c>
      <c r="I16" s="61">
        <v>0</v>
      </c>
      <c r="J16" s="61">
        <v>0</v>
      </c>
      <c r="K16" s="61">
        <v>0</v>
      </c>
      <c r="L16" s="61">
        <v>0</v>
      </c>
      <c r="M16" s="61">
        <v>0</v>
      </c>
      <c r="N16" s="62">
        <f t="shared" si="0"/>
        <v>3766667</v>
      </c>
      <c r="O16" s="61">
        <v>167980</v>
      </c>
      <c r="P16" s="61">
        <v>142860</v>
      </c>
      <c r="Q16" s="61">
        <v>0</v>
      </c>
      <c r="R16" s="61">
        <v>33900</v>
      </c>
      <c r="S16" s="61">
        <v>18500</v>
      </c>
      <c r="T16" s="61"/>
      <c r="U16" s="61">
        <v>163920</v>
      </c>
      <c r="V16" s="61">
        <v>16390</v>
      </c>
      <c r="W16" s="63">
        <f t="shared" si="1"/>
        <v>543550</v>
      </c>
      <c r="X16" s="64">
        <f t="shared" si="2"/>
        <v>3223117</v>
      </c>
    </row>
    <row r="17" spans="2:24" ht="23.1" customHeight="1" x14ac:dyDescent="0.3">
      <c r="B17" s="59" t="s">
        <v>12</v>
      </c>
      <c r="C17" s="60" t="s">
        <v>126</v>
      </c>
      <c r="D17" s="60" t="s">
        <v>34</v>
      </c>
      <c r="E17" s="60" t="s">
        <v>87</v>
      </c>
      <c r="F17" s="61">
        <v>4800000</v>
      </c>
      <c r="G17" s="61">
        <v>0</v>
      </c>
      <c r="H17" s="61">
        <v>50000</v>
      </c>
      <c r="I17" s="61">
        <v>0</v>
      </c>
      <c r="J17" s="61">
        <v>0</v>
      </c>
      <c r="K17" s="61">
        <v>0</v>
      </c>
      <c r="L17" s="61">
        <v>0</v>
      </c>
      <c r="M17" s="61">
        <v>0</v>
      </c>
      <c r="N17" s="62">
        <f t="shared" si="0"/>
        <v>4850000</v>
      </c>
      <c r="O17" s="61">
        <v>215050</v>
      </c>
      <c r="P17" s="61">
        <v>179300</v>
      </c>
      <c r="Q17" s="61">
        <v>0</v>
      </c>
      <c r="R17" s="61">
        <v>43650</v>
      </c>
      <c r="S17" s="61">
        <v>23220</v>
      </c>
      <c r="T17" s="61"/>
      <c r="U17" s="61">
        <v>313030</v>
      </c>
      <c r="V17" s="61">
        <v>31300</v>
      </c>
      <c r="W17" s="63">
        <f t="shared" si="1"/>
        <v>805550</v>
      </c>
      <c r="X17" s="64">
        <f t="shared" si="2"/>
        <v>4044450</v>
      </c>
    </row>
    <row r="18" spans="2:24" ht="23.1" customHeight="1" x14ac:dyDescent="0.3">
      <c r="B18" s="59" t="s">
        <v>13</v>
      </c>
      <c r="C18" s="60" t="s">
        <v>127</v>
      </c>
      <c r="D18" s="60" t="s">
        <v>35</v>
      </c>
      <c r="E18" s="60" t="s">
        <v>87</v>
      </c>
      <c r="F18" s="61">
        <v>0</v>
      </c>
      <c r="G18" s="61">
        <v>0</v>
      </c>
      <c r="H18" s="61">
        <v>0</v>
      </c>
      <c r="I18" s="61">
        <v>0</v>
      </c>
      <c r="J18" s="61">
        <v>0</v>
      </c>
      <c r="K18" s="61">
        <v>0</v>
      </c>
      <c r="L18" s="61">
        <v>0</v>
      </c>
      <c r="M18" s="61">
        <v>0</v>
      </c>
      <c r="N18" s="62">
        <f t="shared" si="0"/>
        <v>0</v>
      </c>
      <c r="O18" s="61">
        <v>0</v>
      </c>
      <c r="P18" s="61">
        <v>0</v>
      </c>
      <c r="Q18" s="61">
        <v>0</v>
      </c>
      <c r="R18" s="61">
        <v>0</v>
      </c>
      <c r="S18" s="61">
        <v>0</v>
      </c>
      <c r="T18" s="61"/>
      <c r="U18" s="61">
        <v>0</v>
      </c>
      <c r="V18" s="61">
        <v>0</v>
      </c>
      <c r="W18" s="63">
        <f t="shared" si="1"/>
        <v>0</v>
      </c>
      <c r="X18" s="64">
        <f t="shared" si="2"/>
        <v>0</v>
      </c>
    </row>
    <row r="19" spans="2:24" ht="23.1" customHeight="1" x14ac:dyDescent="0.3">
      <c r="B19" s="59" t="s">
        <v>14</v>
      </c>
      <c r="C19" s="60" t="s">
        <v>128</v>
      </c>
      <c r="D19" s="60" t="s">
        <v>36</v>
      </c>
      <c r="E19" s="60" t="s">
        <v>87</v>
      </c>
      <c r="F19" s="61">
        <v>3441667</v>
      </c>
      <c r="G19" s="61">
        <v>0</v>
      </c>
      <c r="H19" s="61">
        <v>0</v>
      </c>
      <c r="I19" s="61">
        <v>0</v>
      </c>
      <c r="J19" s="61">
        <v>0</v>
      </c>
      <c r="K19" s="61">
        <v>0</v>
      </c>
      <c r="L19" s="61">
        <v>0</v>
      </c>
      <c r="M19" s="61">
        <v>0</v>
      </c>
      <c r="N19" s="62">
        <f t="shared" si="0"/>
        <v>3441667</v>
      </c>
      <c r="O19" s="61">
        <v>150930</v>
      </c>
      <c r="P19" s="61">
        <v>126910</v>
      </c>
      <c r="Q19" s="61">
        <v>0</v>
      </c>
      <c r="R19" s="61">
        <v>30970</v>
      </c>
      <c r="S19" s="61">
        <v>16430</v>
      </c>
      <c r="T19" s="61"/>
      <c r="U19" s="61">
        <v>119880</v>
      </c>
      <c r="V19" s="61">
        <v>11980</v>
      </c>
      <c r="W19" s="63">
        <f t="shared" si="1"/>
        <v>457100</v>
      </c>
      <c r="X19" s="64">
        <f t="shared" si="2"/>
        <v>2984567</v>
      </c>
    </row>
    <row r="20" spans="2:24" ht="23.1" customHeight="1" x14ac:dyDescent="0.3">
      <c r="B20" s="67" t="s">
        <v>16</v>
      </c>
      <c r="C20" s="68" t="s">
        <v>129</v>
      </c>
      <c r="D20" s="68" t="s">
        <v>37</v>
      </c>
      <c r="E20" s="68" t="s">
        <v>86</v>
      </c>
      <c r="F20" s="69">
        <v>3575000</v>
      </c>
      <c r="G20" s="69">
        <v>0</v>
      </c>
      <c r="H20" s="69">
        <v>0</v>
      </c>
      <c r="I20" s="69">
        <v>0</v>
      </c>
      <c r="J20" s="69">
        <v>0</v>
      </c>
      <c r="K20" s="69">
        <v>0</v>
      </c>
      <c r="L20" s="69">
        <v>0</v>
      </c>
      <c r="M20" s="69">
        <v>0</v>
      </c>
      <c r="N20" s="70">
        <f t="shared" si="0"/>
        <v>3575000</v>
      </c>
      <c r="O20" s="61">
        <v>155340</v>
      </c>
      <c r="P20" s="61">
        <v>131380</v>
      </c>
      <c r="Q20" s="61">
        <v>12510</v>
      </c>
      <c r="R20" s="61">
        <v>32170</v>
      </c>
      <c r="S20" s="61">
        <v>17010</v>
      </c>
      <c r="T20" s="61"/>
      <c r="U20" s="61">
        <v>134550</v>
      </c>
      <c r="V20" s="61">
        <v>13450</v>
      </c>
      <c r="W20" s="71">
        <f t="shared" si="1"/>
        <v>496410</v>
      </c>
      <c r="X20" s="72">
        <f t="shared" si="2"/>
        <v>3078590</v>
      </c>
    </row>
    <row r="21" spans="2:24" ht="23.1" customHeight="1" x14ac:dyDescent="0.3">
      <c r="B21" s="73">
        <v>44879</v>
      </c>
      <c r="C21" s="74" t="s">
        <v>130</v>
      </c>
      <c r="D21" s="74" t="s">
        <v>38</v>
      </c>
      <c r="E21" s="74" t="s">
        <v>86</v>
      </c>
      <c r="F21" s="69">
        <v>4791667</v>
      </c>
      <c r="G21" s="69">
        <v>0</v>
      </c>
      <c r="H21" s="69">
        <v>0</v>
      </c>
      <c r="I21" s="69">
        <v>0</v>
      </c>
      <c r="J21" s="69">
        <v>0</v>
      </c>
      <c r="K21" s="69">
        <v>0</v>
      </c>
      <c r="L21" s="69">
        <v>0</v>
      </c>
      <c r="M21" s="69">
        <v>0</v>
      </c>
      <c r="N21" s="75">
        <f t="shared" si="0"/>
        <v>4791667</v>
      </c>
      <c r="O21" s="61">
        <v>193410</v>
      </c>
      <c r="P21" s="61">
        <v>176060</v>
      </c>
      <c r="Q21" s="61">
        <v>18480</v>
      </c>
      <c r="R21" s="61">
        <v>43120</v>
      </c>
      <c r="S21" s="61">
        <v>22800</v>
      </c>
      <c r="T21" s="61"/>
      <c r="U21" s="61">
        <v>304610</v>
      </c>
      <c r="V21" s="61">
        <v>30460</v>
      </c>
      <c r="W21" s="71">
        <f t="shared" si="1"/>
        <v>788940</v>
      </c>
      <c r="X21" s="72">
        <f t="shared" si="2"/>
        <v>4002727</v>
      </c>
    </row>
    <row r="22" spans="2:24" ht="23.1" customHeight="1" x14ac:dyDescent="0.3">
      <c r="B22" s="73">
        <v>44923</v>
      </c>
      <c r="C22" s="74" t="s">
        <v>131</v>
      </c>
      <c r="D22" s="74" t="s">
        <v>39</v>
      </c>
      <c r="E22" s="74" t="s">
        <v>86</v>
      </c>
      <c r="F22" s="69">
        <v>4041667</v>
      </c>
      <c r="G22" s="69">
        <v>0</v>
      </c>
      <c r="H22" s="69">
        <v>0</v>
      </c>
      <c r="I22" s="69">
        <v>0</v>
      </c>
      <c r="J22" s="69">
        <v>0</v>
      </c>
      <c r="K22" s="69">
        <v>0</v>
      </c>
      <c r="L22" s="69">
        <v>0</v>
      </c>
      <c r="M22" s="69">
        <v>0</v>
      </c>
      <c r="N22" s="75">
        <f t="shared" si="0"/>
        <v>4041667</v>
      </c>
      <c r="O22" s="61">
        <v>141250</v>
      </c>
      <c r="P22" s="61">
        <v>128990</v>
      </c>
      <c r="Q22" s="61">
        <v>115440</v>
      </c>
      <c r="R22" s="61">
        <v>36370</v>
      </c>
      <c r="S22" s="61">
        <v>16700</v>
      </c>
      <c r="T22" s="61"/>
      <c r="U22" s="61">
        <v>201300</v>
      </c>
      <c r="V22" s="61">
        <v>20130</v>
      </c>
      <c r="W22" s="69">
        <f t="shared" si="1"/>
        <v>660180</v>
      </c>
      <c r="X22" s="72">
        <f t="shared" si="2"/>
        <v>3381487</v>
      </c>
    </row>
    <row r="23" spans="2:24" ht="23.1" customHeight="1" x14ac:dyDescent="0.3">
      <c r="B23" s="73">
        <v>45034</v>
      </c>
      <c r="C23" s="74" t="s">
        <v>132</v>
      </c>
      <c r="D23" s="74" t="s">
        <v>40</v>
      </c>
      <c r="E23" s="74" t="s">
        <v>87</v>
      </c>
      <c r="F23" s="69">
        <v>2983333</v>
      </c>
      <c r="G23" s="69">
        <v>0</v>
      </c>
      <c r="H23" s="69">
        <v>0</v>
      </c>
      <c r="I23" s="69">
        <v>0</v>
      </c>
      <c r="J23" s="69">
        <v>0</v>
      </c>
      <c r="K23" s="69">
        <v>0</v>
      </c>
      <c r="L23" s="69">
        <v>0</v>
      </c>
      <c r="M23" s="69">
        <v>0</v>
      </c>
      <c r="N23" s="75">
        <f t="shared" si="0"/>
        <v>2983333</v>
      </c>
      <c r="O23" s="69">
        <v>117130</v>
      </c>
      <c r="P23" s="69">
        <v>107750</v>
      </c>
      <c r="Q23" s="69">
        <v>21160</v>
      </c>
      <c r="R23" s="69">
        <v>26840</v>
      </c>
      <c r="S23" s="69">
        <v>13950</v>
      </c>
      <c r="T23" s="69"/>
      <c r="U23" s="69">
        <v>72210</v>
      </c>
      <c r="V23" s="69">
        <v>7220</v>
      </c>
      <c r="W23" s="69">
        <f t="shared" si="1"/>
        <v>366260</v>
      </c>
      <c r="X23" s="72">
        <f t="shared" si="2"/>
        <v>2617073</v>
      </c>
    </row>
    <row r="24" spans="2:24" ht="23.1" customHeight="1" x14ac:dyDescent="0.3">
      <c r="B24" s="73">
        <v>45212</v>
      </c>
      <c r="C24" s="74" t="s">
        <v>133</v>
      </c>
      <c r="D24" s="74" t="s">
        <v>41</v>
      </c>
      <c r="E24" s="74" t="s">
        <v>87</v>
      </c>
      <c r="F24" s="69">
        <v>2683333</v>
      </c>
      <c r="G24" s="69">
        <v>0</v>
      </c>
      <c r="H24" s="69">
        <v>0</v>
      </c>
      <c r="I24" s="69">
        <v>0</v>
      </c>
      <c r="J24" s="69">
        <v>0</v>
      </c>
      <c r="K24" s="69">
        <v>0</v>
      </c>
      <c r="L24" s="69">
        <v>0</v>
      </c>
      <c r="M24" s="69">
        <v>0</v>
      </c>
      <c r="N24" s="75">
        <f t="shared" si="0"/>
        <v>2683333</v>
      </c>
      <c r="O24" s="69">
        <v>101020</v>
      </c>
      <c r="P24" s="69">
        <v>92020</v>
      </c>
      <c r="Q24" s="69">
        <v>21060</v>
      </c>
      <c r="R24" s="69">
        <v>24140</v>
      </c>
      <c r="S24" s="69">
        <v>11910</v>
      </c>
      <c r="T24" s="69"/>
      <c r="U24" s="69">
        <v>46540</v>
      </c>
      <c r="V24" s="69">
        <v>4650</v>
      </c>
      <c r="W24" s="69">
        <f t="shared" si="1"/>
        <v>301340</v>
      </c>
      <c r="X24" s="72">
        <f t="shared" si="2"/>
        <v>2381993</v>
      </c>
    </row>
    <row r="25" spans="2:24" ht="23.1" customHeight="1" x14ac:dyDescent="0.3">
      <c r="B25" s="66">
        <v>45366</v>
      </c>
      <c r="C25" s="76" t="s">
        <v>134</v>
      </c>
      <c r="D25" s="76" t="s">
        <v>42</v>
      </c>
      <c r="E25" s="76" t="s">
        <v>86</v>
      </c>
      <c r="F25" s="61">
        <v>3166667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1">
        <v>0</v>
      </c>
      <c r="M25" s="61">
        <v>0</v>
      </c>
      <c r="N25" s="75">
        <f t="shared" si="0"/>
        <v>3166667</v>
      </c>
      <c r="O25" s="61">
        <v>119970</v>
      </c>
      <c r="P25" s="61">
        <v>103780</v>
      </c>
      <c r="Q25" s="61">
        <v>0</v>
      </c>
      <c r="R25" s="61">
        <v>28500</v>
      </c>
      <c r="S25" s="61">
        <v>13440</v>
      </c>
      <c r="T25" s="61"/>
      <c r="U25" s="61">
        <v>88040</v>
      </c>
      <c r="V25" s="61">
        <v>8800</v>
      </c>
      <c r="W25" s="69">
        <f t="shared" si="1"/>
        <v>362530</v>
      </c>
      <c r="X25" s="72">
        <f t="shared" si="2"/>
        <v>2804137</v>
      </c>
    </row>
    <row r="26" spans="2:24" ht="23.1" customHeight="1" x14ac:dyDescent="0.3">
      <c r="B26" s="73">
        <v>45366</v>
      </c>
      <c r="C26" s="74" t="s">
        <v>135</v>
      </c>
      <c r="D26" s="74" t="s">
        <v>43</v>
      </c>
      <c r="E26" s="74" t="s">
        <v>86</v>
      </c>
      <c r="F26" s="69">
        <v>3166667</v>
      </c>
      <c r="G26" s="69">
        <v>0</v>
      </c>
      <c r="H26" s="69">
        <v>0</v>
      </c>
      <c r="I26" s="69">
        <v>0</v>
      </c>
      <c r="J26" s="69">
        <v>0</v>
      </c>
      <c r="K26" s="69">
        <v>0</v>
      </c>
      <c r="L26" s="69">
        <v>0</v>
      </c>
      <c r="M26" s="69">
        <v>0</v>
      </c>
      <c r="N26" s="75">
        <f t="shared" si="0"/>
        <v>3166667</v>
      </c>
      <c r="O26" s="69">
        <v>119970</v>
      </c>
      <c r="P26" s="69">
        <v>97700</v>
      </c>
      <c r="Q26" s="69">
        <v>0</v>
      </c>
      <c r="R26" s="69">
        <v>28500</v>
      </c>
      <c r="S26" s="69">
        <v>12650</v>
      </c>
      <c r="T26" s="69"/>
      <c r="U26" s="69">
        <v>88040</v>
      </c>
      <c r="V26" s="69">
        <v>8800</v>
      </c>
      <c r="W26" s="69">
        <f t="shared" si="1"/>
        <v>355660</v>
      </c>
      <c r="X26" s="72">
        <f t="shared" si="2"/>
        <v>2811007</v>
      </c>
    </row>
    <row r="27" spans="2:24" ht="23.1" customHeight="1" x14ac:dyDescent="0.3">
      <c r="B27" s="66">
        <v>45554</v>
      </c>
      <c r="C27" s="60" t="s">
        <v>17</v>
      </c>
      <c r="D27" s="60" t="s">
        <v>44</v>
      </c>
      <c r="E27" s="60" t="s">
        <v>87</v>
      </c>
      <c r="F27" s="61">
        <v>2583333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1">
        <v>66749</v>
      </c>
      <c r="M27" s="61">
        <v>0</v>
      </c>
      <c r="N27" s="77">
        <f t="shared" si="0"/>
        <v>2650082</v>
      </c>
      <c r="O27" s="61">
        <v>108720</v>
      </c>
      <c r="P27" s="61">
        <v>73050</v>
      </c>
      <c r="Q27" s="61">
        <v>0</v>
      </c>
      <c r="R27" s="61">
        <v>23850</v>
      </c>
      <c r="S27" s="61">
        <v>9460</v>
      </c>
      <c r="T27" s="61"/>
      <c r="U27" s="61">
        <v>43110</v>
      </c>
      <c r="V27" s="61">
        <v>4310</v>
      </c>
      <c r="W27" s="61">
        <f t="shared" si="1"/>
        <v>262500</v>
      </c>
      <c r="X27" s="64">
        <f t="shared" si="2"/>
        <v>2387582</v>
      </c>
    </row>
    <row r="28" spans="2:24" ht="23.1" customHeight="1" x14ac:dyDescent="0.3">
      <c r="B28" s="66">
        <v>45593</v>
      </c>
      <c r="C28" s="60" t="s">
        <v>18</v>
      </c>
      <c r="D28" s="60" t="s">
        <v>45</v>
      </c>
      <c r="E28" s="60" t="s">
        <v>87</v>
      </c>
      <c r="F28" s="61">
        <v>2541667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1">
        <v>45608</v>
      </c>
      <c r="M28" s="61">
        <v>0</v>
      </c>
      <c r="N28" s="77">
        <f t="shared" si="0"/>
        <v>2587275</v>
      </c>
      <c r="O28" s="61">
        <v>108720</v>
      </c>
      <c r="P28" s="61">
        <v>91190</v>
      </c>
      <c r="Q28" s="61">
        <v>0</v>
      </c>
      <c r="R28" s="61">
        <v>23280</v>
      </c>
      <c r="S28" s="61">
        <v>11800</v>
      </c>
      <c r="T28" s="61"/>
      <c r="U28" s="61">
        <v>38830</v>
      </c>
      <c r="V28" s="61">
        <v>3880</v>
      </c>
      <c r="W28" s="61">
        <f t="shared" si="1"/>
        <v>277700</v>
      </c>
      <c r="X28" s="64">
        <f t="shared" si="2"/>
        <v>2309575</v>
      </c>
    </row>
    <row r="29" spans="2:24" ht="23.1" customHeight="1" x14ac:dyDescent="0.3">
      <c r="B29" s="66">
        <v>45627</v>
      </c>
      <c r="C29" s="60" t="s">
        <v>19</v>
      </c>
      <c r="D29" s="60" t="s">
        <v>46</v>
      </c>
      <c r="E29" s="60" t="s">
        <v>86</v>
      </c>
      <c r="F29" s="61">
        <v>3083333</v>
      </c>
      <c r="G29" s="61">
        <v>0</v>
      </c>
      <c r="H29" s="61">
        <v>0</v>
      </c>
      <c r="I29" s="61">
        <v>0</v>
      </c>
      <c r="J29" s="61">
        <v>0</v>
      </c>
      <c r="K29" s="61">
        <v>0</v>
      </c>
      <c r="L29" s="61">
        <v>0</v>
      </c>
      <c r="M29" s="61">
        <v>0</v>
      </c>
      <c r="N29" s="77">
        <f t="shared" si="0"/>
        <v>3083333</v>
      </c>
      <c r="O29" s="61">
        <v>138730</v>
      </c>
      <c r="P29" s="61">
        <v>109300</v>
      </c>
      <c r="Q29" s="61">
        <v>0</v>
      </c>
      <c r="R29" s="61">
        <v>27740</v>
      </c>
      <c r="S29" s="61">
        <v>14150</v>
      </c>
      <c r="T29" s="61"/>
      <c r="U29" s="61">
        <v>81190</v>
      </c>
      <c r="V29" s="61">
        <v>8110</v>
      </c>
      <c r="W29" s="61">
        <f t="shared" si="1"/>
        <v>379220</v>
      </c>
      <c r="X29" s="64">
        <f t="shared" si="2"/>
        <v>2704113</v>
      </c>
    </row>
    <row r="30" spans="2:24" ht="23.1" customHeight="1" x14ac:dyDescent="0.3">
      <c r="B30" s="66">
        <v>45656</v>
      </c>
      <c r="C30" s="60" t="s">
        <v>20</v>
      </c>
      <c r="D30" s="60" t="s">
        <v>47</v>
      </c>
      <c r="E30" s="60" t="s">
        <v>84</v>
      </c>
      <c r="F30" s="61">
        <v>3083333</v>
      </c>
      <c r="G30" s="61">
        <v>0</v>
      </c>
      <c r="H30" s="61">
        <v>0</v>
      </c>
      <c r="I30" s="61">
        <v>0</v>
      </c>
      <c r="J30" s="61">
        <v>0</v>
      </c>
      <c r="K30" s="61">
        <v>0</v>
      </c>
      <c r="L30" s="61">
        <v>0</v>
      </c>
      <c r="M30" s="61">
        <v>0</v>
      </c>
      <c r="N30" s="77">
        <f t="shared" si="0"/>
        <v>3083333</v>
      </c>
      <c r="O30" s="61">
        <v>138730</v>
      </c>
      <c r="P30" s="61">
        <v>109300</v>
      </c>
      <c r="Q30" s="61">
        <v>0</v>
      </c>
      <c r="R30" s="61">
        <v>27740</v>
      </c>
      <c r="S30" s="61">
        <v>14150</v>
      </c>
      <c r="T30" s="61"/>
      <c r="U30" s="61">
        <v>81190</v>
      </c>
      <c r="V30" s="61">
        <v>8110</v>
      </c>
      <c r="W30" s="61">
        <f t="shared" si="1"/>
        <v>379220</v>
      </c>
      <c r="X30" s="64">
        <f t="shared" si="2"/>
        <v>2704113</v>
      </c>
    </row>
    <row r="31" spans="2:24" ht="23.1" customHeight="1" thickBot="1" x14ac:dyDescent="0.35">
      <c r="B31" s="78">
        <v>45761</v>
      </c>
      <c r="C31" s="102" t="s">
        <v>52</v>
      </c>
      <c r="D31" s="102" t="s">
        <v>53</v>
      </c>
      <c r="E31" s="102" t="s">
        <v>86</v>
      </c>
      <c r="F31" s="79">
        <v>3000000</v>
      </c>
      <c r="G31" s="79">
        <v>0</v>
      </c>
      <c r="H31" s="79">
        <v>0</v>
      </c>
      <c r="I31" s="79">
        <v>0</v>
      </c>
      <c r="J31" s="79">
        <v>0</v>
      </c>
      <c r="K31" s="79">
        <v>0</v>
      </c>
      <c r="L31" s="79">
        <v>0</v>
      </c>
      <c r="M31" s="79">
        <v>0</v>
      </c>
      <c r="N31" s="77">
        <f t="shared" si="0"/>
        <v>3000000</v>
      </c>
      <c r="O31" s="79">
        <v>135000</v>
      </c>
      <c r="P31" s="79">
        <v>106350</v>
      </c>
      <c r="Q31" s="79">
        <v>0</v>
      </c>
      <c r="R31" s="79">
        <v>27000</v>
      </c>
      <c r="S31" s="79">
        <v>13770</v>
      </c>
      <c r="T31" s="79"/>
      <c r="U31" s="79">
        <v>74350</v>
      </c>
      <c r="V31" s="79">
        <v>7430</v>
      </c>
      <c r="W31" s="79">
        <f t="shared" si="1"/>
        <v>363900</v>
      </c>
      <c r="X31" s="64">
        <f t="shared" si="2"/>
        <v>2636100</v>
      </c>
    </row>
    <row r="32" spans="2:24" ht="22.6" customHeight="1" thickBot="1" x14ac:dyDescent="0.35">
      <c r="B32" s="82" t="s">
        <v>90</v>
      </c>
      <c r="C32" s="113" t="s">
        <v>89</v>
      </c>
      <c r="D32" s="91"/>
      <c r="E32" s="84"/>
      <c r="F32" s="85">
        <f t="shared" ref="F32:X32" si="3">SUM(F5:F31)</f>
        <v>130027085</v>
      </c>
      <c r="G32" s="86">
        <f t="shared" si="3"/>
        <v>2000000</v>
      </c>
      <c r="H32" s="86">
        <f t="shared" si="3"/>
        <v>50000</v>
      </c>
      <c r="I32" s="86">
        <f t="shared" si="3"/>
        <v>0</v>
      </c>
      <c r="J32" s="86">
        <f t="shared" si="3"/>
        <v>0</v>
      </c>
      <c r="K32" s="86">
        <f t="shared" si="3"/>
        <v>0</v>
      </c>
      <c r="L32" s="86">
        <f t="shared" si="3"/>
        <v>112357</v>
      </c>
      <c r="M32" s="86">
        <f t="shared" si="3"/>
        <v>0</v>
      </c>
      <c r="N32" s="87">
        <f t="shared" si="3"/>
        <v>132189442</v>
      </c>
      <c r="O32" s="88">
        <f t="shared" si="3"/>
        <v>4309640</v>
      </c>
      <c r="P32" s="88">
        <f t="shared" si="3"/>
        <v>4716110</v>
      </c>
      <c r="Q32" s="88">
        <f t="shared" si="3"/>
        <v>460190</v>
      </c>
      <c r="R32" s="88">
        <f t="shared" si="3"/>
        <v>895430</v>
      </c>
      <c r="S32" s="88">
        <f t="shared" si="3"/>
        <v>610660</v>
      </c>
      <c r="T32" s="88"/>
      <c r="U32" s="88">
        <f t="shared" si="3"/>
        <v>15458430</v>
      </c>
      <c r="V32" s="88">
        <f t="shared" si="3"/>
        <v>1545750</v>
      </c>
      <c r="W32" s="88">
        <f t="shared" si="3"/>
        <v>27996210</v>
      </c>
      <c r="X32" s="89">
        <f t="shared" si="3"/>
        <v>104193232</v>
      </c>
    </row>
    <row r="33" spans="2:24" x14ac:dyDescent="0.3">
      <c r="B33" s="43"/>
      <c r="C33" s="43"/>
      <c r="D33" s="43"/>
      <c r="E33" s="43"/>
      <c r="F33" s="90"/>
      <c r="G33" s="90"/>
      <c r="H33" s="90"/>
      <c r="I33" s="90"/>
      <c r="J33" s="90"/>
      <c r="K33" s="90"/>
      <c r="L33" s="90"/>
      <c r="M33" s="90"/>
      <c r="N33" s="58"/>
      <c r="O33" s="90"/>
      <c r="P33" s="90"/>
      <c r="Q33" s="90"/>
      <c r="R33" s="90"/>
      <c r="S33" s="90"/>
      <c r="T33" s="90"/>
      <c r="U33" s="90"/>
      <c r="V33" s="90"/>
      <c r="W33" s="90"/>
      <c r="X33" s="90"/>
    </row>
    <row r="34" spans="2:24" x14ac:dyDescent="0.3"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123"/>
      <c r="O34" s="90"/>
      <c r="P34" s="90"/>
      <c r="Q34" s="90"/>
      <c r="R34" s="90"/>
      <c r="S34" s="90"/>
      <c r="T34" s="90"/>
      <c r="U34" s="90"/>
      <c r="V34" s="90"/>
      <c r="W34" s="90"/>
      <c r="X34" s="90"/>
    </row>
    <row r="35" spans="2:24" x14ac:dyDescent="0.3"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65"/>
      <c r="O35" s="90"/>
      <c r="P35" s="90"/>
      <c r="Q35" s="90"/>
      <c r="R35" s="90"/>
      <c r="S35" s="90"/>
      <c r="T35" s="90"/>
      <c r="U35" s="90"/>
      <c r="V35" s="90"/>
      <c r="W35" s="90"/>
      <c r="X35" s="90"/>
    </row>
    <row r="36" spans="2:24" x14ac:dyDescent="0.3"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90"/>
      <c r="P36" s="90"/>
      <c r="Q36" s="90"/>
      <c r="R36" s="90"/>
      <c r="S36" s="90"/>
      <c r="T36" s="90"/>
      <c r="U36" s="90"/>
      <c r="V36" s="90"/>
      <c r="W36" s="90"/>
      <c r="X36" s="90"/>
    </row>
  </sheetData>
  <autoFilter ref="B4:X33" xr:uid="{36E06672-321C-487D-896E-7B99D111151A}"/>
  <phoneticPr fontId="2" type="noConversion"/>
  <pageMargins left="0.36" right="0.11811023622047245" top="0.74803149606299213" bottom="0.74803149606299213" header="0.31496062992125984" footer="0.31496062992125984"/>
  <pageSetup paperSize="9" scale="5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AE3B8-C59D-4CD2-9A4A-273C6FEAE16C}">
  <dimension ref="B1:X37"/>
  <sheetViews>
    <sheetView showGridLines="0" zoomScale="80" zoomScaleNormal="80" workbookViewId="0"/>
  </sheetViews>
  <sheetFormatPr defaultColWidth="9.08984375" defaultRowHeight="13.45" x14ac:dyDescent="0.3"/>
  <cols>
    <col min="1" max="1" width="2" style="42" customWidth="1"/>
    <col min="2" max="2" width="13.54296875" style="42" bestFit="1" customWidth="1"/>
    <col min="3" max="4" width="20" style="42" bestFit="1" customWidth="1"/>
    <col min="5" max="5" width="14.6328125" style="42" bestFit="1" customWidth="1"/>
    <col min="6" max="7" width="13.6328125" style="42" customWidth="1"/>
    <col min="8" max="11" width="23" style="42" customWidth="1"/>
    <col min="12" max="12" width="14.81640625" style="42" customWidth="1"/>
    <col min="13" max="13" width="15.1796875" style="42" bestFit="1" customWidth="1"/>
    <col min="14" max="14" width="12.6328125" style="42" customWidth="1"/>
    <col min="15" max="15" width="11.54296875" style="42" customWidth="1"/>
    <col min="16" max="16" width="11.453125" style="42" customWidth="1"/>
    <col min="17" max="17" width="19.1796875" style="42" customWidth="1"/>
    <col min="18" max="18" width="11.08984375" style="42" customWidth="1"/>
    <col min="19" max="19" width="15.453125" style="42" customWidth="1"/>
    <col min="20" max="20" width="15.1796875" style="42" bestFit="1" customWidth="1"/>
    <col min="21" max="21" width="12.1796875" style="42" customWidth="1"/>
    <col min="22" max="22" width="12.453125" style="42" customWidth="1"/>
    <col min="23" max="23" width="18.453125" style="42" customWidth="1"/>
    <col min="24" max="24" width="20" style="42" customWidth="1"/>
    <col min="25" max="25" width="9.08984375" style="42"/>
    <col min="26" max="26" width="12.6328125" style="42" bestFit="1" customWidth="1"/>
    <col min="27" max="16384" width="9.08984375" style="42"/>
  </cols>
  <sheetData>
    <row r="1" spans="2:24" ht="9.8000000000000007" customHeight="1" x14ac:dyDescent="0.3"/>
    <row r="2" spans="2:24" s="135" customFormat="1" ht="26.35" customHeight="1" x14ac:dyDescent="0.4">
      <c r="B2" s="133" t="s">
        <v>107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</row>
    <row r="3" spans="2:24" ht="20.3" customHeight="1" thickBot="1" x14ac:dyDescent="0.35"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4" t="s">
        <v>83</v>
      </c>
    </row>
    <row r="4" spans="2:24" s="51" customFormat="1" ht="54.3" thickBot="1" x14ac:dyDescent="0.35">
      <c r="B4" s="45" t="s">
        <v>59</v>
      </c>
      <c r="C4" s="46" t="s">
        <v>60</v>
      </c>
      <c r="D4" s="124" t="s">
        <v>61</v>
      </c>
      <c r="E4" s="47" t="s">
        <v>62</v>
      </c>
      <c r="F4" s="48" t="s">
        <v>63</v>
      </c>
      <c r="G4" s="49" t="s">
        <v>64</v>
      </c>
      <c r="H4" s="108" t="s">
        <v>65</v>
      </c>
      <c r="I4" s="49" t="s">
        <v>66</v>
      </c>
      <c r="J4" s="108" t="s">
        <v>67</v>
      </c>
      <c r="K4" s="49" t="s">
        <v>68</v>
      </c>
      <c r="L4" s="108" t="s">
        <v>69</v>
      </c>
      <c r="M4" s="46" t="s">
        <v>70</v>
      </c>
      <c r="N4" s="47" t="s">
        <v>71</v>
      </c>
      <c r="O4" s="109" t="s">
        <v>72</v>
      </c>
      <c r="P4" s="110" t="s">
        <v>73</v>
      </c>
      <c r="Q4" s="110" t="s">
        <v>74</v>
      </c>
      <c r="R4" s="110" t="s">
        <v>75</v>
      </c>
      <c r="S4" s="110" t="s">
        <v>76</v>
      </c>
      <c r="T4" s="50" t="s">
        <v>77</v>
      </c>
      <c r="U4" s="110" t="s">
        <v>79</v>
      </c>
      <c r="V4" s="110" t="s">
        <v>80</v>
      </c>
      <c r="W4" s="49" t="s">
        <v>81</v>
      </c>
      <c r="X4" s="47" t="s">
        <v>82</v>
      </c>
    </row>
    <row r="5" spans="2:24" ht="23.1" customHeight="1" x14ac:dyDescent="0.3">
      <c r="B5" s="52" t="s">
        <v>1</v>
      </c>
      <c r="C5" s="53" t="s">
        <v>0</v>
      </c>
      <c r="D5" s="53" t="str">
        <f>C5</f>
        <v>Shin Jonghoon Bryan</v>
      </c>
      <c r="E5" s="53" t="s">
        <v>85</v>
      </c>
      <c r="F5" s="96">
        <v>30685417</v>
      </c>
      <c r="G5" s="96">
        <v>2000000</v>
      </c>
      <c r="H5" s="96">
        <v>0</v>
      </c>
      <c r="I5" s="96">
        <v>0</v>
      </c>
      <c r="J5" s="96">
        <v>0</v>
      </c>
      <c r="K5" s="96">
        <v>0</v>
      </c>
      <c r="L5" s="96">
        <v>0</v>
      </c>
      <c r="M5" s="96">
        <v>0</v>
      </c>
      <c r="N5" s="97">
        <f t="shared" ref="N5:N32" si="0">SUM(F5:M5)</f>
        <v>32685417</v>
      </c>
      <c r="O5" s="96">
        <v>277650</v>
      </c>
      <c r="P5" s="96">
        <v>1160390</v>
      </c>
      <c r="Q5" s="96">
        <v>0</v>
      </c>
      <c r="R5" s="96">
        <v>0</v>
      </c>
      <c r="S5" s="96">
        <v>150270</v>
      </c>
      <c r="T5" s="96">
        <v>0</v>
      </c>
      <c r="U5" s="96">
        <v>9669600</v>
      </c>
      <c r="V5" s="96">
        <v>966960</v>
      </c>
      <c r="W5" s="98">
        <f t="shared" ref="W5:W32" si="1">SUM(O5:V5)</f>
        <v>12224870</v>
      </c>
      <c r="X5" s="99">
        <f t="shared" ref="X5:X32" si="2">N5-W5</f>
        <v>20460547</v>
      </c>
    </row>
    <row r="6" spans="2:24" ht="23.1" customHeight="1" x14ac:dyDescent="0.3">
      <c r="B6" s="100">
        <v>45809</v>
      </c>
      <c r="C6" s="101" t="s">
        <v>54</v>
      </c>
      <c r="D6" s="101" t="s">
        <v>29</v>
      </c>
      <c r="E6" s="101" t="s">
        <v>85</v>
      </c>
      <c r="F6" s="61">
        <v>12500000</v>
      </c>
      <c r="G6" s="61">
        <v>0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6058673</v>
      </c>
      <c r="N6" s="62">
        <f t="shared" si="0"/>
        <v>18558673</v>
      </c>
      <c r="O6" s="61">
        <v>277650</v>
      </c>
      <c r="P6" s="61">
        <v>443120</v>
      </c>
      <c r="Q6" s="61">
        <v>0</v>
      </c>
      <c r="R6" s="61">
        <v>167020</v>
      </c>
      <c r="S6" s="61">
        <v>57380</v>
      </c>
      <c r="T6" s="61">
        <v>-3371750</v>
      </c>
      <c r="U6" s="61">
        <v>4602040</v>
      </c>
      <c r="V6" s="61">
        <v>460200</v>
      </c>
      <c r="W6" s="63">
        <f>SUM(O6:V6)</f>
        <v>2635660</v>
      </c>
      <c r="X6" s="64">
        <f>N6-W6</f>
        <v>15923013</v>
      </c>
    </row>
    <row r="7" spans="2:24" ht="23.1" customHeight="1" x14ac:dyDescent="0.3">
      <c r="B7" s="59" t="s">
        <v>15</v>
      </c>
      <c r="C7" s="60" t="s">
        <v>114</v>
      </c>
      <c r="D7" s="60" t="s">
        <v>22</v>
      </c>
      <c r="E7" s="60" t="s">
        <v>86</v>
      </c>
      <c r="F7" s="61">
        <v>0</v>
      </c>
      <c r="G7" s="61">
        <v>0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2">
        <f t="shared" si="0"/>
        <v>0</v>
      </c>
      <c r="O7" s="61">
        <v>0</v>
      </c>
      <c r="P7" s="61">
        <v>0</v>
      </c>
      <c r="Q7" s="61">
        <v>0</v>
      </c>
      <c r="R7" s="61">
        <v>0</v>
      </c>
      <c r="S7" s="61">
        <v>0</v>
      </c>
      <c r="T7" s="61">
        <v>0</v>
      </c>
      <c r="U7" s="61">
        <v>0</v>
      </c>
      <c r="V7" s="61">
        <v>0</v>
      </c>
      <c r="W7" s="63">
        <f t="shared" si="1"/>
        <v>0</v>
      </c>
      <c r="X7" s="64">
        <f t="shared" si="2"/>
        <v>0</v>
      </c>
    </row>
    <row r="8" spans="2:24" ht="23.1" customHeight="1" x14ac:dyDescent="0.3">
      <c r="B8" s="59" t="s">
        <v>2</v>
      </c>
      <c r="C8" s="60" t="s">
        <v>115</v>
      </c>
      <c r="D8" s="60" t="s">
        <v>23</v>
      </c>
      <c r="E8" s="60" t="s">
        <v>86</v>
      </c>
      <c r="F8" s="61">
        <v>6666667</v>
      </c>
      <c r="G8" s="61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2">
        <f t="shared" si="0"/>
        <v>6666667</v>
      </c>
      <c r="O8" s="61">
        <v>277650</v>
      </c>
      <c r="P8" s="61">
        <v>241550</v>
      </c>
      <c r="Q8" s="61">
        <v>50230</v>
      </c>
      <c r="R8" s="61">
        <v>60000</v>
      </c>
      <c r="S8" s="61">
        <v>31280</v>
      </c>
      <c r="T8" s="61">
        <v>0</v>
      </c>
      <c r="U8" s="61">
        <v>445340</v>
      </c>
      <c r="V8" s="61">
        <v>44530</v>
      </c>
      <c r="W8" s="63">
        <f t="shared" si="1"/>
        <v>1150580</v>
      </c>
      <c r="X8" s="64">
        <f t="shared" si="2"/>
        <v>5516087</v>
      </c>
    </row>
    <row r="9" spans="2:24" ht="23.1" customHeight="1" x14ac:dyDescent="0.3">
      <c r="B9" s="59" t="s">
        <v>3</v>
      </c>
      <c r="C9" s="60" t="s">
        <v>116</v>
      </c>
      <c r="D9" s="60" t="s">
        <v>24</v>
      </c>
      <c r="E9" s="60" t="s">
        <v>84</v>
      </c>
      <c r="F9" s="61">
        <v>3158333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2">
        <f t="shared" si="0"/>
        <v>3158333</v>
      </c>
      <c r="O9" s="61">
        <v>131170</v>
      </c>
      <c r="P9" s="61">
        <v>112060</v>
      </c>
      <c r="Q9" s="61">
        <v>0</v>
      </c>
      <c r="R9" s="61">
        <v>28420</v>
      </c>
      <c r="S9" s="61">
        <v>14510</v>
      </c>
      <c r="T9" s="61">
        <v>0</v>
      </c>
      <c r="U9" s="61">
        <v>86330</v>
      </c>
      <c r="V9" s="61">
        <v>8630</v>
      </c>
      <c r="W9" s="63">
        <f t="shared" si="1"/>
        <v>381120</v>
      </c>
      <c r="X9" s="64">
        <f t="shared" si="2"/>
        <v>2777213</v>
      </c>
    </row>
    <row r="10" spans="2:24" ht="23.1" customHeight="1" x14ac:dyDescent="0.3">
      <c r="B10" s="59" t="s">
        <v>4</v>
      </c>
      <c r="C10" s="60" t="s">
        <v>117</v>
      </c>
      <c r="D10" s="60" t="s">
        <v>25</v>
      </c>
      <c r="E10" s="60" t="s">
        <v>84</v>
      </c>
      <c r="F10" s="61">
        <v>5466667</v>
      </c>
      <c r="G10" s="61">
        <v>0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2">
        <f t="shared" si="0"/>
        <v>5466667</v>
      </c>
      <c r="O10" s="61">
        <v>244980</v>
      </c>
      <c r="P10" s="61">
        <v>212350</v>
      </c>
      <c r="Q10" s="61">
        <v>0</v>
      </c>
      <c r="R10" s="61">
        <v>49200</v>
      </c>
      <c r="S10" s="61">
        <v>27500</v>
      </c>
      <c r="T10" s="61">
        <v>0</v>
      </c>
      <c r="U10" s="61">
        <v>399980</v>
      </c>
      <c r="V10" s="61">
        <v>39990</v>
      </c>
      <c r="W10" s="63">
        <f t="shared" si="1"/>
        <v>974000</v>
      </c>
      <c r="X10" s="64">
        <f t="shared" si="2"/>
        <v>4492667</v>
      </c>
    </row>
    <row r="11" spans="2:24" ht="23.1" customHeight="1" x14ac:dyDescent="0.3">
      <c r="B11" s="59" t="s">
        <v>5</v>
      </c>
      <c r="C11" s="60" t="s">
        <v>118</v>
      </c>
      <c r="D11" s="60" t="s">
        <v>26</v>
      </c>
      <c r="E11" s="60" t="s">
        <v>86</v>
      </c>
      <c r="F11" s="61">
        <v>3441667</v>
      </c>
      <c r="G11" s="61">
        <v>0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2">
        <f t="shared" si="0"/>
        <v>3441667</v>
      </c>
      <c r="O11" s="61">
        <v>123520</v>
      </c>
      <c r="P11" s="61">
        <v>120230</v>
      </c>
      <c r="Q11" s="61">
        <v>0</v>
      </c>
      <c r="R11" s="61">
        <v>30970</v>
      </c>
      <c r="S11" s="61">
        <v>15570</v>
      </c>
      <c r="T11" s="61">
        <v>0</v>
      </c>
      <c r="U11" s="61">
        <v>119880</v>
      </c>
      <c r="V11" s="61">
        <v>11980</v>
      </c>
      <c r="W11" s="63">
        <f t="shared" si="1"/>
        <v>422150</v>
      </c>
      <c r="X11" s="64">
        <f t="shared" si="2"/>
        <v>3019517</v>
      </c>
    </row>
    <row r="12" spans="2:24" ht="23.1" customHeight="1" x14ac:dyDescent="0.3">
      <c r="B12" s="59" t="s">
        <v>6</v>
      </c>
      <c r="C12" s="60" t="s">
        <v>119</v>
      </c>
      <c r="D12" s="60" t="s">
        <v>27</v>
      </c>
      <c r="E12" s="60" t="s">
        <v>86</v>
      </c>
      <c r="F12" s="61">
        <v>5416667</v>
      </c>
      <c r="G12" s="61">
        <v>0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2">
        <f t="shared" si="0"/>
        <v>5416667</v>
      </c>
      <c r="O12" s="61">
        <v>242410</v>
      </c>
      <c r="P12" s="61">
        <v>192800</v>
      </c>
      <c r="Q12" s="61">
        <v>0</v>
      </c>
      <c r="R12" s="61">
        <v>48750</v>
      </c>
      <c r="S12" s="61">
        <v>24960</v>
      </c>
      <c r="T12" s="61">
        <v>0</v>
      </c>
      <c r="U12" s="61">
        <v>362510</v>
      </c>
      <c r="V12" s="61">
        <v>36250</v>
      </c>
      <c r="W12" s="63">
        <f t="shared" si="1"/>
        <v>907680</v>
      </c>
      <c r="X12" s="64">
        <f t="shared" si="2"/>
        <v>4508987</v>
      </c>
    </row>
    <row r="13" spans="2:24" ht="23.1" customHeight="1" x14ac:dyDescent="0.3">
      <c r="B13" s="59" t="s">
        <v>7</v>
      </c>
      <c r="C13" s="60" t="s">
        <v>120</v>
      </c>
      <c r="D13" s="60" t="s">
        <v>28</v>
      </c>
      <c r="E13" s="60" t="s">
        <v>84</v>
      </c>
      <c r="F13" s="61">
        <v>4041667</v>
      </c>
      <c r="G13" s="61">
        <v>0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2">
        <f t="shared" si="0"/>
        <v>4041667</v>
      </c>
      <c r="O13" s="61">
        <v>170190</v>
      </c>
      <c r="P13" s="61">
        <v>136260</v>
      </c>
      <c r="Q13" s="61">
        <v>0</v>
      </c>
      <c r="R13" s="61">
        <v>36370</v>
      </c>
      <c r="S13" s="61">
        <v>17640</v>
      </c>
      <c r="T13" s="61">
        <v>0</v>
      </c>
      <c r="U13" s="61">
        <v>201300</v>
      </c>
      <c r="V13" s="61">
        <v>20130</v>
      </c>
      <c r="W13" s="63">
        <f t="shared" si="1"/>
        <v>581890</v>
      </c>
      <c r="X13" s="64">
        <f t="shared" si="2"/>
        <v>3459777</v>
      </c>
    </row>
    <row r="14" spans="2:24" ht="23.1" customHeight="1" x14ac:dyDescent="0.3">
      <c r="B14" s="59" t="s">
        <v>9</v>
      </c>
      <c r="C14" s="60" t="s">
        <v>122</v>
      </c>
      <c r="D14" s="60" t="s">
        <v>30</v>
      </c>
      <c r="E14" s="60" t="s">
        <v>87</v>
      </c>
      <c r="F14" s="61">
        <v>4025000</v>
      </c>
      <c r="G14" s="61">
        <v>0</v>
      </c>
      <c r="H14" s="61">
        <v>0</v>
      </c>
      <c r="I14" s="61">
        <v>0</v>
      </c>
      <c r="J14" s="61">
        <v>0</v>
      </c>
      <c r="K14" s="61">
        <v>0</v>
      </c>
      <c r="L14" s="61">
        <v>0</v>
      </c>
      <c r="M14" s="61">
        <v>0</v>
      </c>
      <c r="N14" s="62">
        <f t="shared" si="0"/>
        <v>4025000</v>
      </c>
      <c r="O14" s="61">
        <v>180940</v>
      </c>
      <c r="P14" s="61">
        <v>151880</v>
      </c>
      <c r="Q14" s="61">
        <v>0</v>
      </c>
      <c r="R14" s="61">
        <v>36220</v>
      </c>
      <c r="S14" s="61">
        <v>19660</v>
      </c>
      <c r="T14" s="61">
        <v>0</v>
      </c>
      <c r="U14" s="61">
        <v>198630</v>
      </c>
      <c r="V14" s="61">
        <v>19860</v>
      </c>
      <c r="W14" s="63">
        <f t="shared" si="1"/>
        <v>607190</v>
      </c>
      <c r="X14" s="64">
        <f t="shared" si="2"/>
        <v>3417810</v>
      </c>
    </row>
    <row r="15" spans="2:24" ht="23.1" customHeight="1" x14ac:dyDescent="0.3">
      <c r="B15" s="59" t="s">
        <v>10</v>
      </c>
      <c r="C15" s="60" t="s">
        <v>123</v>
      </c>
      <c r="D15" s="60" t="s">
        <v>31</v>
      </c>
      <c r="E15" s="60" t="s">
        <v>86</v>
      </c>
      <c r="F15" s="61">
        <v>10333333</v>
      </c>
      <c r="G15" s="61">
        <v>0</v>
      </c>
      <c r="H15" s="61">
        <v>0</v>
      </c>
      <c r="I15" s="61">
        <v>0</v>
      </c>
      <c r="J15" s="61">
        <v>0</v>
      </c>
      <c r="K15" s="61">
        <v>0</v>
      </c>
      <c r="L15" s="61">
        <v>0</v>
      </c>
      <c r="M15" s="61">
        <v>0</v>
      </c>
      <c r="N15" s="62">
        <f t="shared" si="0"/>
        <v>10333333</v>
      </c>
      <c r="O15" s="61">
        <v>277650</v>
      </c>
      <c r="P15" s="61">
        <v>390540</v>
      </c>
      <c r="Q15" s="61">
        <v>0</v>
      </c>
      <c r="R15" s="61">
        <v>92990</v>
      </c>
      <c r="S15" s="61">
        <v>50570</v>
      </c>
      <c r="T15" s="61">
        <v>0</v>
      </c>
      <c r="U15" s="61">
        <v>1646730</v>
      </c>
      <c r="V15" s="61">
        <v>164670</v>
      </c>
      <c r="W15" s="63">
        <f t="shared" si="1"/>
        <v>2623150</v>
      </c>
      <c r="X15" s="64">
        <f t="shared" si="2"/>
        <v>7710183</v>
      </c>
    </row>
    <row r="16" spans="2:24" ht="23.1" customHeight="1" x14ac:dyDescent="0.3">
      <c r="B16" s="66">
        <v>41699</v>
      </c>
      <c r="C16" s="60" t="s">
        <v>124</v>
      </c>
      <c r="D16" s="60" t="s">
        <v>32</v>
      </c>
      <c r="E16" s="60" t="s">
        <v>86</v>
      </c>
      <c r="F16" s="61">
        <v>6083333</v>
      </c>
      <c r="G16" s="61">
        <v>0</v>
      </c>
      <c r="H16" s="61">
        <v>0</v>
      </c>
      <c r="I16" s="61">
        <v>0</v>
      </c>
      <c r="J16" s="61">
        <v>0</v>
      </c>
      <c r="K16" s="61">
        <v>0</v>
      </c>
      <c r="L16" s="61">
        <v>0</v>
      </c>
      <c r="M16" s="61">
        <v>0</v>
      </c>
      <c r="N16" s="62">
        <f t="shared" si="0"/>
        <v>6083333</v>
      </c>
      <c r="O16" s="61">
        <v>271530</v>
      </c>
      <c r="P16" s="61">
        <v>222110</v>
      </c>
      <c r="Q16" s="61">
        <v>0</v>
      </c>
      <c r="R16" s="61">
        <v>54740</v>
      </c>
      <c r="S16" s="61">
        <v>28760</v>
      </c>
      <c r="T16" s="61">
        <v>0</v>
      </c>
      <c r="U16" s="61">
        <v>477340</v>
      </c>
      <c r="V16" s="61">
        <v>47730</v>
      </c>
      <c r="W16" s="63">
        <f t="shared" si="1"/>
        <v>1102210</v>
      </c>
      <c r="X16" s="64">
        <f t="shared" si="2"/>
        <v>4981123</v>
      </c>
    </row>
    <row r="17" spans="2:24" ht="23.1" customHeight="1" x14ac:dyDescent="0.3">
      <c r="B17" s="59" t="s">
        <v>11</v>
      </c>
      <c r="C17" s="60" t="s">
        <v>125</v>
      </c>
      <c r="D17" s="60" t="s">
        <v>33</v>
      </c>
      <c r="E17" s="60" t="s">
        <v>87</v>
      </c>
      <c r="F17" s="61">
        <v>3766667</v>
      </c>
      <c r="G17" s="61">
        <v>0</v>
      </c>
      <c r="H17" s="61">
        <v>0</v>
      </c>
      <c r="I17" s="61">
        <v>0</v>
      </c>
      <c r="J17" s="61">
        <v>0</v>
      </c>
      <c r="K17" s="61">
        <v>0</v>
      </c>
      <c r="L17" s="61">
        <v>0</v>
      </c>
      <c r="M17" s="61">
        <v>0</v>
      </c>
      <c r="N17" s="62">
        <f t="shared" si="0"/>
        <v>3766667</v>
      </c>
      <c r="O17" s="61">
        <v>167980</v>
      </c>
      <c r="P17" s="61">
        <v>142860</v>
      </c>
      <c r="Q17" s="61">
        <v>0</v>
      </c>
      <c r="R17" s="61">
        <v>33900</v>
      </c>
      <c r="S17" s="61">
        <v>18500</v>
      </c>
      <c r="T17" s="61">
        <v>0</v>
      </c>
      <c r="U17" s="61">
        <v>163920</v>
      </c>
      <c r="V17" s="61">
        <v>16390</v>
      </c>
      <c r="W17" s="63">
        <f t="shared" si="1"/>
        <v>543550</v>
      </c>
      <c r="X17" s="64">
        <f t="shared" si="2"/>
        <v>3223117</v>
      </c>
    </row>
    <row r="18" spans="2:24" ht="23.1" customHeight="1" x14ac:dyDescent="0.3">
      <c r="B18" s="59" t="s">
        <v>12</v>
      </c>
      <c r="C18" s="60" t="s">
        <v>126</v>
      </c>
      <c r="D18" s="60" t="s">
        <v>34</v>
      </c>
      <c r="E18" s="60" t="s">
        <v>87</v>
      </c>
      <c r="F18" s="61">
        <v>4800000</v>
      </c>
      <c r="G18" s="61">
        <v>0</v>
      </c>
      <c r="H18" s="61">
        <v>50000</v>
      </c>
      <c r="I18" s="61">
        <v>0</v>
      </c>
      <c r="J18" s="61">
        <v>0</v>
      </c>
      <c r="K18" s="61">
        <v>0</v>
      </c>
      <c r="L18" s="61">
        <v>0</v>
      </c>
      <c r="M18" s="61">
        <v>0</v>
      </c>
      <c r="N18" s="62">
        <f t="shared" si="0"/>
        <v>4850000</v>
      </c>
      <c r="O18" s="61">
        <v>215050</v>
      </c>
      <c r="P18" s="61">
        <v>179300</v>
      </c>
      <c r="Q18" s="61">
        <v>0</v>
      </c>
      <c r="R18" s="61">
        <v>43650</v>
      </c>
      <c r="S18" s="61">
        <v>23220</v>
      </c>
      <c r="T18" s="61">
        <v>0</v>
      </c>
      <c r="U18" s="61">
        <v>313030</v>
      </c>
      <c r="V18" s="61">
        <v>31300</v>
      </c>
      <c r="W18" s="63">
        <f t="shared" si="1"/>
        <v>805550</v>
      </c>
      <c r="X18" s="64">
        <f t="shared" si="2"/>
        <v>4044450</v>
      </c>
    </row>
    <row r="19" spans="2:24" ht="23.1" customHeight="1" x14ac:dyDescent="0.3">
      <c r="B19" s="59" t="s">
        <v>13</v>
      </c>
      <c r="C19" s="60" t="s">
        <v>127</v>
      </c>
      <c r="D19" s="60" t="s">
        <v>35</v>
      </c>
      <c r="E19" s="60" t="s">
        <v>87</v>
      </c>
      <c r="F19" s="61">
        <v>3318889</v>
      </c>
      <c r="G19" s="61">
        <v>0</v>
      </c>
      <c r="H19" s="61">
        <v>0</v>
      </c>
      <c r="I19" s="61">
        <v>0</v>
      </c>
      <c r="J19" s="61">
        <v>0</v>
      </c>
      <c r="K19" s="61">
        <v>0</v>
      </c>
      <c r="L19" s="61">
        <v>0</v>
      </c>
      <c r="M19" s="61">
        <v>0</v>
      </c>
      <c r="N19" s="62">
        <f t="shared" si="0"/>
        <v>3318889</v>
      </c>
      <c r="O19" s="61">
        <v>154490</v>
      </c>
      <c r="P19" s="61">
        <v>0</v>
      </c>
      <c r="Q19" s="61">
        <v>229520</v>
      </c>
      <c r="R19" s="61">
        <v>29870</v>
      </c>
      <c r="S19" s="61">
        <v>0</v>
      </c>
      <c r="T19" s="61">
        <v>0</v>
      </c>
      <c r="U19" s="61">
        <v>102770</v>
      </c>
      <c r="V19" s="61">
        <v>10270</v>
      </c>
      <c r="W19" s="63">
        <f t="shared" si="1"/>
        <v>526920</v>
      </c>
      <c r="X19" s="64">
        <f t="shared" si="2"/>
        <v>2791969</v>
      </c>
    </row>
    <row r="20" spans="2:24" ht="23.1" customHeight="1" x14ac:dyDescent="0.3">
      <c r="B20" s="59" t="s">
        <v>14</v>
      </c>
      <c r="C20" s="60" t="s">
        <v>128</v>
      </c>
      <c r="D20" s="60" t="s">
        <v>36</v>
      </c>
      <c r="E20" s="60" t="s">
        <v>87</v>
      </c>
      <c r="F20" s="61">
        <v>3441667</v>
      </c>
      <c r="G20" s="61">
        <v>0</v>
      </c>
      <c r="H20" s="61">
        <v>0</v>
      </c>
      <c r="I20" s="61">
        <v>0</v>
      </c>
      <c r="J20" s="61">
        <v>0</v>
      </c>
      <c r="K20" s="61">
        <v>0</v>
      </c>
      <c r="L20" s="61">
        <v>0</v>
      </c>
      <c r="M20" s="61">
        <v>0</v>
      </c>
      <c r="N20" s="62">
        <f t="shared" si="0"/>
        <v>3441667</v>
      </c>
      <c r="O20" s="61">
        <v>150930</v>
      </c>
      <c r="P20" s="61">
        <v>126910</v>
      </c>
      <c r="Q20" s="61">
        <v>0</v>
      </c>
      <c r="R20" s="61">
        <v>30970</v>
      </c>
      <c r="S20" s="61">
        <v>16430</v>
      </c>
      <c r="T20" s="61">
        <v>0</v>
      </c>
      <c r="U20" s="61">
        <v>119880</v>
      </c>
      <c r="V20" s="61">
        <v>11980</v>
      </c>
      <c r="W20" s="63">
        <f t="shared" si="1"/>
        <v>457100</v>
      </c>
      <c r="X20" s="64">
        <f t="shared" si="2"/>
        <v>2984567</v>
      </c>
    </row>
    <row r="21" spans="2:24" ht="23.1" customHeight="1" x14ac:dyDescent="0.3">
      <c r="B21" s="67" t="s">
        <v>16</v>
      </c>
      <c r="C21" s="68" t="s">
        <v>129</v>
      </c>
      <c r="D21" s="68" t="s">
        <v>37</v>
      </c>
      <c r="E21" s="68" t="s">
        <v>86</v>
      </c>
      <c r="F21" s="69">
        <v>3575000</v>
      </c>
      <c r="G21" s="69">
        <v>0</v>
      </c>
      <c r="H21" s="69">
        <v>0</v>
      </c>
      <c r="I21" s="69">
        <v>0</v>
      </c>
      <c r="J21" s="69">
        <v>0</v>
      </c>
      <c r="K21" s="69">
        <v>0</v>
      </c>
      <c r="L21" s="69">
        <v>0</v>
      </c>
      <c r="M21" s="69">
        <v>0</v>
      </c>
      <c r="N21" s="70">
        <f t="shared" si="0"/>
        <v>3575000</v>
      </c>
      <c r="O21" s="61">
        <v>155340</v>
      </c>
      <c r="P21" s="61">
        <v>131380</v>
      </c>
      <c r="Q21" s="61">
        <v>12510</v>
      </c>
      <c r="R21" s="61">
        <v>32170</v>
      </c>
      <c r="S21" s="61">
        <v>17010</v>
      </c>
      <c r="T21" s="61">
        <v>0</v>
      </c>
      <c r="U21" s="61">
        <v>134550</v>
      </c>
      <c r="V21" s="61">
        <v>13450</v>
      </c>
      <c r="W21" s="71">
        <f t="shared" si="1"/>
        <v>496410</v>
      </c>
      <c r="X21" s="72">
        <f t="shared" si="2"/>
        <v>3078590</v>
      </c>
    </row>
    <row r="22" spans="2:24" ht="23.1" customHeight="1" x14ac:dyDescent="0.3">
      <c r="B22" s="73">
        <v>44879</v>
      </c>
      <c r="C22" s="74" t="s">
        <v>130</v>
      </c>
      <c r="D22" s="74" t="s">
        <v>38</v>
      </c>
      <c r="E22" s="74" t="s">
        <v>86</v>
      </c>
      <c r="F22" s="69">
        <v>4791667</v>
      </c>
      <c r="G22" s="69">
        <v>0</v>
      </c>
      <c r="H22" s="69">
        <v>0</v>
      </c>
      <c r="I22" s="69">
        <v>0</v>
      </c>
      <c r="J22" s="69">
        <v>0</v>
      </c>
      <c r="K22" s="69">
        <v>0</v>
      </c>
      <c r="L22" s="69">
        <v>0</v>
      </c>
      <c r="M22" s="69">
        <v>0</v>
      </c>
      <c r="N22" s="75">
        <f t="shared" si="0"/>
        <v>4791667</v>
      </c>
      <c r="O22" s="61">
        <v>193410</v>
      </c>
      <c r="P22" s="61">
        <v>176060</v>
      </c>
      <c r="Q22" s="61">
        <v>18480</v>
      </c>
      <c r="R22" s="61">
        <v>43120</v>
      </c>
      <c r="S22" s="61">
        <v>22800</v>
      </c>
      <c r="T22" s="61">
        <v>0</v>
      </c>
      <c r="U22" s="61">
        <v>304610</v>
      </c>
      <c r="V22" s="61">
        <v>30460</v>
      </c>
      <c r="W22" s="71">
        <f t="shared" si="1"/>
        <v>788940</v>
      </c>
      <c r="X22" s="72">
        <f t="shared" si="2"/>
        <v>4002727</v>
      </c>
    </row>
    <row r="23" spans="2:24" ht="23.1" customHeight="1" x14ac:dyDescent="0.3">
      <c r="B23" s="73">
        <v>44923</v>
      </c>
      <c r="C23" s="74" t="s">
        <v>131</v>
      </c>
      <c r="D23" s="74" t="s">
        <v>39</v>
      </c>
      <c r="E23" s="74" t="s">
        <v>86</v>
      </c>
      <c r="F23" s="69">
        <v>4041667</v>
      </c>
      <c r="G23" s="69">
        <v>0</v>
      </c>
      <c r="H23" s="69">
        <v>0</v>
      </c>
      <c r="I23" s="69">
        <v>0</v>
      </c>
      <c r="J23" s="69">
        <v>0</v>
      </c>
      <c r="K23" s="69">
        <v>0</v>
      </c>
      <c r="L23" s="69">
        <v>0</v>
      </c>
      <c r="M23" s="69">
        <v>0</v>
      </c>
      <c r="N23" s="75">
        <f t="shared" si="0"/>
        <v>4041667</v>
      </c>
      <c r="O23" s="61">
        <v>141250</v>
      </c>
      <c r="P23" s="61">
        <v>128990</v>
      </c>
      <c r="Q23" s="61">
        <v>0</v>
      </c>
      <c r="R23" s="61">
        <v>36370</v>
      </c>
      <c r="S23" s="61">
        <v>16700</v>
      </c>
      <c r="T23" s="61">
        <v>0</v>
      </c>
      <c r="U23" s="61">
        <v>201300</v>
      </c>
      <c r="V23" s="61">
        <v>20130</v>
      </c>
      <c r="W23" s="69">
        <f t="shared" si="1"/>
        <v>544740</v>
      </c>
      <c r="X23" s="72">
        <f t="shared" si="2"/>
        <v>3496927</v>
      </c>
    </row>
    <row r="24" spans="2:24" ht="23.1" customHeight="1" x14ac:dyDescent="0.3">
      <c r="B24" s="73">
        <v>45034</v>
      </c>
      <c r="C24" s="74" t="s">
        <v>132</v>
      </c>
      <c r="D24" s="74" t="s">
        <v>40</v>
      </c>
      <c r="E24" s="74" t="s">
        <v>87</v>
      </c>
      <c r="F24" s="69">
        <v>2983333</v>
      </c>
      <c r="G24" s="69">
        <v>0</v>
      </c>
      <c r="H24" s="69">
        <v>0</v>
      </c>
      <c r="I24" s="69">
        <v>0</v>
      </c>
      <c r="J24" s="69">
        <v>0</v>
      </c>
      <c r="K24" s="69">
        <v>0</v>
      </c>
      <c r="L24" s="69">
        <v>0</v>
      </c>
      <c r="M24" s="69">
        <v>0</v>
      </c>
      <c r="N24" s="75">
        <f t="shared" si="0"/>
        <v>2983333</v>
      </c>
      <c r="O24" s="69">
        <v>117130</v>
      </c>
      <c r="P24" s="69">
        <v>107750</v>
      </c>
      <c r="Q24" s="69">
        <v>21160</v>
      </c>
      <c r="R24" s="69">
        <v>26840</v>
      </c>
      <c r="S24" s="69">
        <v>13950</v>
      </c>
      <c r="T24" s="69">
        <v>0</v>
      </c>
      <c r="U24" s="69">
        <v>72210</v>
      </c>
      <c r="V24" s="69">
        <v>7220</v>
      </c>
      <c r="W24" s="69">
        <f t="shared" si="1"/>
        <v>366260</v>
      </c>
      <c r="X24" s="72">
        <f t="shared" si="2"/>
        <v>2617073</v>
      </c>
    </row>
    <row r="25" spans="2:24" ht="23.1" customHeight="1" x14ac:dyDescent="0.3">
      <c r="B25" s="73">
        <v>45212</v>
      </c>
      <c r="C25" s="74" t="s">
        <v>133</v>
      </c>
      <c r="D25" s="74" t="s">
        <v>41</v>
      </c>
      <c r="E25" s="74" t="s">
        <v>87</v>
      </c>
      <c r="F25" s="69">
        <v>2683333</v>
      </c>
      <c r="G25" s="69">
        <v>0</v>
      </c>
      <c r="H25" s="69">
        <v>0</v>
      </c>
      <c r="I25" s="69">
        <v>0</v>
      </c>
      <c r="J25" s="69">
        <v>0</v>
      </c>
      <c r="K25" s="69">
        <v>0</v>
      </c>
      <c r="L25" s="69">
        <v>0</v>
      </c>
      <c r="M25" s="69">
        <v>0</v>
      </c>
      <c r="N25" s="75">
        <f t="shared" si="0"/>
        <v>2683333</v>
      </c>
      <c r="O25" s="69">
        <v>101020</v>
      </c>
      <c r="P25" s="69">
        <v>92020</v>
      </c>
      <c r="Q25" s="69">
        <v>21060</v>
      </c>
      <c r="R25" s="69">
        <v>24140</v>
      </c>
      <c r="S25" s="69">
        <v>11910</v>
      </c>
      <c r="T25" s="69">
        <v>0</v>
      </c>
      <c r="U25" s="69">
        <v>46540</v>
      </c>
      <c r="V25" s="69">
        <v>4650</v>
      </c>
      <c r="W25" s="69">
        <f t="shared" si="1"/>
        <v>301340</v>
      </c>
      <c r="X25" s="72">
        <f t="shared" si="2"/>
        <v>2381993</v>
      </c>
    </row>
    <row r="26" spans="2:24" ht="23.1" customHeight="1" x14ac:dyDescent="0.3">
      <c r="B26" s="66">
        <v>45366</v>
      </c>
      <c r="C26" s="76" t="s">
        <v>134</v>
      </c>
      <c r="D26" s="76" t="s">
        <v>42</v>
      </c>
      <c r="E26" s="76" t="s">
        <v>86</v>
      </c>
      <c r="F26" s="61">
        <v>3166667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1">
        <v>0</v>
      </c>
      <c r="M26" s="61">
        <v>0</v>
      </c>
      <c r="N26" s="75">
        <f t="shared" si="0"/>
        <v>3166667</v>
      </c>
      <c r="O26" s="61">
        <v>119970</v>
      </c>
      <c r="P26" s="61">
        <v>103780</v>
      </c>
      <c r="Q26" s="61">
        <v>0</v>
      </c>
      <c r="R26" s="61">
        <v>28500</v>
      </c>
      <c r="S26" s="61">
        <v>13440</v>
      </c>
      <c r="T26" s="61">
        <v>0</v>
      </c>
      <c r="U26" s="61">
        <v>88040</v>
      </c>
      <c r="V26" s="61">
        <v>8800</v>
      </c>
      <c r="W26" s="69">
        <f t="shared" si="1"/>
        <v>362530</v>
      </c>
      <c r="X26" s="72">
        <f t="shared" si="2"/>
        <v>2804137</v>
      </c>
    </row>
    <row r="27" spans="2:24" ht="23.1" customHeight="1" x14ac:dyDescent="0.3">
      <c r="B27" s="73">
        <v>45366</v>
      </c>
      <c r="C27" s="74" t="s">
        <v>135</v>
      </c>
      <c r="D27" s="74" t="s">
        <v>43</v>
      </c>
      <c r="E27" s="74" t="s">
        <v>86</v>
      </c>
      <c r="F27" s="69">
        <v>3166667</v>
      </c>
      <c r="G27" s="69">
        <v>0</v>
      </c>
      <c r="H27" s="69">
        <v>0</v>
      </c>
      <c r="I27" s="69">
        <v>0</v>
      </c>
      <c r="J27" s="69">
        <v>0</v>
      </c>
      <c r="K27" s="69">
        <v>0</v>
      </c>
      <c r="L27" s="69">
        <v>0</v>
      </c>
      <c r="M27" s="69">
        <v>0</v>
      </c>
      <c r="N27" s="75">
        <f t="shared" si="0"/>
        <v>3166667</v>
      </c>
      <c r="O27" s="69">
        <v>119970</v>
      </c>
      <c r="P27" s="69">
        <v>97700</v>
      </c>
      <c r="Q27" s="69">
        <v>0</v>
      </c>
      <c r="R27" s="69">
        <v>28500</v>
      </c>
      <c r="S27" s="69">
        <v>12650</v>
      </c>
      <c r="T27" s="69">
        <v>0</v>
      </c>
      <c r="U27" s="69">
        <v>88040</v>
      </c>
      <c r="V27" s="69">
        <v>8800</v>
      </c>
      <c r="W27" s="69">
        <f t="shared" si="1"/>
        <v>355660</v>
      </c>
      <c r="X27" s="72">
        <f t="shared" si="2"/>
        <v>2811007</v>
      </c>
    </row>
    <row r="28" spans="2:24" ht="23.1" customHeight="1" x14ac:dyDescent="0.3">
      <c r="B28" s="66">
        <v>45554</v>
      </c>
      <c r="C28" s="60" t="s">
        <v>17</v>
      </c>
      <c r="D28" s="60" t="s">
        <v>44</v>
      </c>
      <c r="E28" s="60" t="s">
        <v>87</v>
      </c>
      <c r="F28" s="61">
        <v>2583333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1">
        <v>65513</v>
      </c>
      <c r="M28" s="61">
        <v>0</v>
      </c>
      <c r="N28" s="77">
        <f t="shared" si="0"/>
        <v>2648846</v>
      </c>
      <c r="O28" s="61">
        <v>108720</v>
      </c>
      <c r="P28" s="61">
        <v>73050</v>
      </c>
      <c r="Q28" s="61">
        <v>0</v>
      </c>
      <c r="R28" s="61">
        <v>23830</v>
      </c>
      <c r="S28" s="61">
        <v>9460</v>
      </c>
      <c r="T28" s="61">
        <v>0</v>
      </c>
      <c r="U28" s="61">
        <v>43110</v>
      </c>
      <c r="V28" s="61">
        <v>4310</v>
      </c>
      <c r="W28" s="61">
        <f t="shared" si="1"/>
        <v>262480</v>
      </c>
      <c r="X28" s="64">
        <f t="shared" si="2"/>
        <v>2386366</v>
      </c>
    </row>
    <row r="29" spans="2:24" ht="23.1" customHeight="1" x14ac:dyDescent="0.3">
      <c r="B29" s="66">
        <v>45593</v>
      </c>
      <c r="C29" s="60" t="s">
        <v>18</v>
      </c>
      <c r="D29" s="60" t="s">
        <v>45</v>
      </c>
      <c r="E29" s="60" t="s">
        <v>87</v>
      </c>
      <c r="F29" s="61">
        <v>2541667</v>
      </c>
      <c r="G29" s="61">
        <v>0</v>
      </c>
      <c r="H29" s="61">
        <v>0</v>
      </c>
      <c r="I29" s="61">
        <v>0</v>
      </c>
      <c r="J29" s="61">
        <v>0</v>
      </c>
      <c r="K29" s="61">
        <v>0</v>
      </c>
      <c r="L29" s="61">
        <v>18243</v>
      </c>
      <c r="M29" s="61">
        <v>0</v>
      </c>
      <c r="N29" s="77">
        <f t="shared" si="0"/>
        <v>2559910</v>
      </c>
      <c r="O29" s="61">
        <v>108720</v>
      </c>
      <c r="P29" s="61">
        <v>91190</v>
      </c>
      <c r="Q29" s="61">
        <v>0</v>
      </c>
      <c r="R29" s="61">
        <v>23030</v>
      </c>
      <c r="S29" s="61">
        <v>11800</v>
      </c>
      <c r="T29" s="61">
        <v>0</v>
      </c>
      <c r="U29" s="61">
        <v>38830</v>
      </c>
      <c r="V29" s="61">
        <v>3880</v>
      </c>
      <c r="W29" s="61">
        <f t="shared" si="1"/>
        <v>277450</v>
      </c>
      <c r="X29" s="64">
        <f t="shared" si="2"/>
        <v>2282460</v>
      </c>
    </row>
    <row r="30" spans="2:24" ht="23.1" customHeight="1" x14ac:dyDescent="0.3">
      <c r="B30" s="66">
        <v>45627</v>
      </c>
      <c r="C30" s="60" t="s">
        <v>19</v>
      </c>
      <c r="D30" s="60" t="s">
        <v>46</v>
      </c>
      <c r="E30" s="60" t="s">
        <v>86</v>
      </c>
      <c r="F30" s="61">
        <v>3083333</v>
      </c>
      <c r="G30" s="61">
        <v>0</v>
      </c>
      <c r="H30" s="61">
        <v>0</v>
      </c>
      <c r="I30" s="61">
        <v>0</v>
      </c>
      <c r="J30" s="61">
        <v>0</v>
      </c>
      <c r="K30" s="61">
        <v>0</v>
      </c>
      <c r="L30" s="61">
        <v>0</v>
      </c>
      <c r="M30" s="61">
        <v>0</v>
      </c>
      <c r="N30" s="77">
        <f t="shared" si="0"/>
        <v>3083333</v>
      </c>
      <c r="O30" s="61">
        <v>138730</v>
      </c>
      <c r="P30" s="61">
        <v>109300</v>
      </c>
      <c r="Q30" s="61">
        <v>0</v>
      </c>
      <c r="R30" s="61">
        <v>27740</v>
      </c>
      <c r="S30" s="61">
        <v>14150</v>
      </c>
      <c r="T30" s="61">
        <v>0</v>
      </c>
      <c r="U30" s="61">
        <v>81190</v>
      </c>
      <c r="V30" s="61">
        <v>8110</v>
      </c>
      <c r="W30" s="61">
        <f t="shared" si="1"/>
        <v>379220</v>
      </c>
      <c r="X30" s="64">
        <f t="shared" si="2"/>
        <v>2704113</v>
      </c>
    </row>
    <row r="31" spans="2:24" ht="23.1" customHeight="1" x14ac:dyDescent="0.3">
      <c r="B31" s="66">
        <v>45656</v>
      </c>
      <c r="C31" s="60" t="s">
        <v>20</v>
      </c>
      <c r="D31" s="60" t="s">
        <v>47</v>
      </c>
      <c r="E31" s="60" t="s">
        <v>84</v>
      </c>
      <c r="F31" s="61">
        <v>3083333</v>
      </c>
      <c r="G31" s="61">
        <v>0</v>
      </c>
      <c r="H31" s="61">
        <v>0</v>
      </c>
      <c r="I31" s="61">
        <v>0</v>
      </c>
      <c r="J31" s="61">
        <v>0</v>
      </c>
      <c r="K31" s="61">
        <v>0</v>
      </c>
      <c r="L31" s="61">
        <v>0</v>
      </c>
      <c r="M31" s="61">
        <v>0</v>
      </c>
      <c r="N31" s="77">
        <f t="shared" si="0"/>
        <v>3083333</v>
      </c>
      <c r="O31" s="61">
        <v>138730</v>
      </c>
      <c r="P31" s="61">
        <v>109300</v>
      </c>
      <c r="Q31" s="61">
        <v>0</v>
      </c>
      <c r="R31" s="61">
        <v>27740</v>
      </c>
      <c r="S31" s="61">
        <v>14150</v>
      </c>
      <c r="T31" s="61">
        <v>0</v>
      </c>
      <c r="U31" s="61">
        <v>81190</v>
      </c>
      <c r="V31" s="61">
        <v>8110</v>
      </c>
      <c r="W31" s="61">
        <f t="shared" si="1"/>
        <v>379220</v>
      </c>
      <c r="X31" s="64">
        <f t="shared" si="2"/>
        <v>2704113</v>
      </c>
    </row>
    <row r="32" spans="2:24" ht="23.1" customHeight="1" thickBot="1" x14ac:dyDescent="0.35">
      <c r="B32" s="78">
        <v>45761</v>
      </c>
      <c r="C32" s="102" t="s">
        <v>52</v>
      </c>
      <c r="D32" s="102" t="s">
        <v>53</v>
      </c>
      <c r="E32" s="102" t="s">
        <v>86</v>
      </c>
      <c r="F32" s="79">
        <v>3000000</v>
      </c>
      <c r="G32" s="79">
        <v>0</v>
      </c>
      <c r="H32" s="79">
        <v>0</v>
      </c>
      <c r="I32" s="79">
        <v>0</v>
      </c>
      <c r="J32" s="79">
        <v>0</v>
      </c>
      <c r="K32" s="79">
        <v>0</v>
      </c>
      <c r="L32" s="79">
        <v>0</v>
      </c>
      <c r="M32" s="79">
        <v>0</v>
      </c>
      <c r="N32" s="77">
        <f t="shared" si="0"/>
        <v>3000000</v>
      </c>
      <c r="O32" s="79">
        <v>135000</v>
      </c>
      <c r="P32" s="79">
        <v>106350</v>
      </c>
      <c r="Q32" s="79">
        <v>0</v>
      </c>
      <c r="R32" s="79">
        <v>27000</v>
      </c>
      <c r="S32" s="79">
        <v>13770</v>
      </c>
      <c r="T32" s="79">
        <v>0</v>
      </c>
      <c r="U32" s="79">
        <v>74350</v>
      </c>
      <c r="V32" s="79">
        <v>7430</v>
      </c>
      <c r="W32" s="79">
        <f t="shared" si="1"/>
        <v>363900</v>
      </c>
      <c r="X32" s="64">
        <f t="shared" si="2"/>
        <v>2636100</v>
      </c>
    </row>
    <row r="33" spans="2:24" ht="22.6" customHeight="1" thickBot="1" x14ac:dyDescent="0.35">
      <c r="B33" s="82" t="s">
        <v>94</v>
      </c>
      <c r="C33" s="113" t="s">
        <v>89</v>
      </c>
      <c r="D33" s="91"/>
      <c r="E33" s="84"/>
      <c r="F33" s="85">
        <f t="shared" ref="F33:X33" si="3">SUM(F5:F32)</f>
        <v>145845974</v>
      </c>
      <c r="G33" s="86">
        <f t="shared" si="3"/>
        <v>2000000</v>
      </c>
      <c r="H33" s="86">
        <f t="shared" si="3"/>
        <v>50000</v>
      </c>
      <c r="I33" s="86">
        <f t="shared" si="3"/>
        <v>0</v>
      </c>
      <c r="J33" s="86">
        <f t="shared" si="3"/>
        <v>0</v>
      </c>
      <c r="K33" s="86">
        <f t="shared" si="3"/>
        <v>0</v>
      </c>
      <c r="L33" s="86">
        <f t="shared" si="3"/>
        <v>83756</v>
      </c>
      <c r="M33" s="86">
        <f t="shared" si="3"/>
        <v>6058673</v>
      </c>
      <c r="N33" s="87">
        <f t="shared" si="3"/>
        <v>154038403</v>
      </c>
      <c r="O33" s="88">
        <f t="shared" si="3"/>
        <v>4741780</v>
      </c>
      <c r="P33" s="88">
        <f t="shared" si="3"/>
        <v>5159230</v>
      </c>
      <c r="Q33" s="88">
        <f t="shared" si="3"/>
        <v>352960</v>
      </c>
      <c r="R33" s="88">
        <f t="shared" si="3"/>
        <v>1092050</v>
      </c>
      <c r="S33" s="88">
        <f t="shared" si="3"/>
        <v>668040</v>
      </c>
      <c r="T33" s="88">
        <f t="shared" si="3"/>
        <v>-3371750</v>
      </c>
      <c r="U33" s="88">
        <f t="shared" si="3"/>
        <v>20163240</v>
      </c>
      <c r="V33" s="88">
        <f t="shared" si="3"/>
        <v>2016220</v>
      </c>
      <c r="W33" s="88">
        <f t="shared" si="3"/>
        <v>30821770</v>
      </c>
      <c r="X33" s="89">
        <f t="shared" si="3"/>
        <v>123216633</v>
      </c>
    </row>
    <row r="34" spans="2:24" x14ac:dyDescent="0.3">
      <c r="B34" s="43"/>
      <c r="C34" s="43"/>
      <c r="D34" s="43"/>
      <c r="E34" s="43"/>
      <c r="F34" s="90"/>
      <c r="G34" s="90"/>
      <c r="H34" s="90"/>
      <c r="I34" s="90"/>
      <c r="J34" s="90"/>
      <c r="K34" s="90"/>
      <c r="L34" s="90"/>
      <c r="M34" s="90"/>
      <c r="N34" s="58"/>
      <c r="O34" s="90"/>
      <c r="P34" s="90"/>
      <c r="Q34" s="90"/>
      <c r="R34" s="90"/>
      <c r="S34" s="90"/>
      <c r="T34" s="90"/>
      <c r="U34" s="90"/>
      <c r="V34" s="90"/>
      <c r="W34" s="90"/>
      <c r="X34" s="90"/>
    </row>
    <row r="35" spans="2:24" x14ac:dyDescent="0.3"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123"/>
      <c r="O35" s="90"/>
      <c r="P35" s="90"/>
      <c r="Q35" s="90"/>
      <c r="R35" s="90"/>
      <c r="S35" s="90"/>
      <c r="T35" s="90"/>
      <c r="U35" s="90"/>
      <c r="V35" s="90"/>
      <c r="W35" s="90"/>
      <c r="X35" s="90"/>
    </row>
    <row r="36" spans="2:24" x14ac:dyDescent="0.3"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65"/>
      <c r="O36" s="90"/>
      <c r="P36" s="90"/>
      <c r="Q36" s="90"/>
      <c r="R36" s="90"/>
      <c r="S36" s="90"/>
      <c r="T36" s="90"/>
      <c r="U36" s="90"/>
      <c r="V36" s="90"/>
      <c r="W36" s="90"/>
      <c r="X36" s="90"/>
    </row>
    <row r="37" spans="2:24" x14ac:dyDescent="0.3"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90"/>
      <c r="P37" s="90"/>
      <c r="Q37" s="90"/>
      <c r="R37" s="90"/>
      <c r="S37" s="90"/>
      <c r="T37" s="90"/>
      <c r="U37" s="90"/>
      <c r="V37" s="90"/>
      <c r="W37" s="90"/>
      <c r="X37" s="90"/>
    </row>
  </sheetData>
  <autoFilter ref="B4:X34" xr:uid="{165686C3-19D7-4138-AD6C-600C44E6ECE2}"/>
  <phoneticPr fontId="2" type="noConversion"/>
  <pageMargins left="0.36" right="0.11811023622047245" top="0.74803149606299213" bottom="0.74803149606299213" header="0.31496062992125984" footer="0.31496062992125984"/>
  <pageSetup paperSize="9" scale="5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25A2D-088A-4905-B5F3-73B43713392C}">
  <dimension ref="B1:X38"/>
  <sheetViews>
    <sheetView showGridLines="0" zoomScale="80" zoomScaleNormal="80" workbookViewId="0"/>
  </sheetViews>
  <sheetFormatPr defaultColWidth="9.08984375" defaultRowHeight="13.45" x14ac:dyDescent="0.3"/>
  <cols>
    <col min="1" max="1" width="2" style="42" customWidth="1"/>
    <col min="2" max="2" width="13.54296875" style="42" bestFit="1" customWidth="1"/>
    <col min="3" max="4" width="18.81640625" style="42" bestFit="1" customWidth="1"/>
    <col min="5" max="5" width="13.81640625" style="42" bestFit="1" customWidth="1"/>
    <col min="6" max="7" width="13.6328125" style="42" customWidth="1"/>
    <col min="8" max="11" width="23" style="42" customWidth="1"/>
    <col min="12" max="12" width="14.81640625" style="42" customWidth="1"/>
    <col min="13" max="13" width="15.1796875" style="42" bestFit="1" customWidth="1"/>
    <col min="14" max="14" width="12.6328125" style="42" customWidth="1"/>
    <col min="15" max="15" width="11.54296875" style="42" customWidth="1"/>
    <col min="16" max="16" width="11.453125" style="42" customWidth="1"/>
    <col min="17" max="17" width="19.1796875" style="42" customWidth="1"/>
    <col min="18" max="18" width="11.08984375" style="42" customWidth="1"/>
    <col min="19" max="19" width="15.453125" style="42" customWidth="1"/>
    <col min="20" max="20" width="15.1796875" style="42" bestFit="1" customWidth="1"/>
    <col min="21" max="21" width="12.1796875" style="42" customWidth="1"/>
    <col min="22" max="22" width="12.453125" style="42" customWidth="1"/>
    <col min="23" max="23" width="18.453125" style="42" customWidth="1"/>
    <col min="24" max="24" width="20" style="42" customWidth="1"/>
    <col min="25" max="25" width="9.08984375" style="42"/>
    <col min="26" max="26" width="12.6328125" style="42" bestFit="1" customWidth="1"/>
    <col min="27" max="16384" width="9.08984375" style="42"/>
  </cols>
  <sheetData>
    <row r="1" spans="2:24" ht="9.8000000000000007" customHeight="1" x14ac:dyDescent="0.3"/>
    <row r="2" spans="2:24" s="135" customFormat="1" ht="26.35" customHeight="1" x14ac:dyDescent="0.4">
      <c r="B2" s="133" t="s">
        <v>106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</row>
    <row r="3" spans="2:24" ht="20.3" customHeight="1" thickBot="1" x14ac:dyDescent="0.35"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4" t="s">
        <v>83</v>
      </c>
    </row>
    <row r="4" spans="2:24" s="51" customFormat="1" ht="54.3" thickBot="1" x14ac:dyDescent="0.35">
      <c r="B4" s="45" t="s">
        <v>59</v>
      </c>
      <c r="C4" s="46" t="s">
        <v>60</v>
      </c>
      <c r="D4" s="124" t="s">
        <v>61</v>
      </c>
      <c r="E4" s="47" t="s">
        <v>62</v>
      </c>
      <c r="F4" s="48" t="s">
        <v>63</v>
      </c>
      <c r="G4" s="49" t="s">
        <v>64</v>
      </c>
      <c r="H4" s="108" t="s">
        <v>65</v>
      </c>
      <c r="I4" s="49" t="s">
        <v>66</v>
      </c>
      <c r="J4" s="108" t="s">
        <v>67</v>
      </c>
      <c r="K4" s="49" t="s">
        <v>68</v>
      </c>
      <c r="L4" s="108" t="s">
        <v>69</v>
      </c>
      <c r="M4" s="46" t="s">
        <v>70</v>
      </c>
      <c r="N4" s="47" t="s">
        <v>71</v>
      </c>
      <c r="O4" s="109" t="s">
        <v>72</v>
      </c>
      <c r="P4" s="110" t="s">
        <v>73</v>
      </c>
      <c r="Q4" s="110" t="s">
        <v>74</v>
      </c>
      <c r="R4" s="110" t="s">
        <v>75</v>
      </c>
      <c r="S4" s="110" t="s">
        <v>76</v>
      </c>
      <c r="T4" s="50" t="s">
        <v>77</v>
      </c>
      <c r="U4" s="110" t="s">
        <v>79</v>
      </c>
      <c r="V4" s="110" t="s">
        <v>80</v>
      </c>
      <c r="W4" s="49" t="s">
        <v>81</v>
      </c>
      <c r="X4" s="47" t="s">
        <v>82</v>
      </c>
    </row>
    <row r="5" spans="2:24" ht="23.1" customHeight="1" x14ac:dyDescent="0.3">
      <c r="B5" s="52" t="s">
        <v>1</v>
      </c>
      <c r="C5" s="53" t="s">
        <v>0</v>
      </c>
      <c r="D5" s="53" t="str">
        <f>C5</f>
        <v>Shin Jonghoon Bryan</v>
      </c>
      <c r="E5" s="53" t="s">
        <v>85</v>
      </c>
      <c r="F5" s="96">
        <v>30685417</v>
      </c>
      <c r="G5" s="96">
        <v>2000000</v>
      </c>
      <c r="H5" s="96">
        <v>0</v>
      </c>
      <c r="I5" s="96">
        <v>0</v>
      </c>
      <c r="J5" s="96">
        <v>0</v>
      </c>
      <c r="K5" s="96">
        <v>0</v>
      </c>
      <c r="L5" s="96">
        <v>0</v>
      </c>
      <c r="M5" s="96">
        <v>0</v>
      </c>
      <c r="N5" s="97">
        <f t="shared" ref="N5:N33" si="0">SUM(F5:M5)</f>
        <v>32685417</v>
      </c>
      <c r="O5" s="96">
        <v>277650</v>
      </c>
      <c r="P5" s="96">
        <v>1160390</v>
      </c>
      <c r="Q5" s="96">
        <v>0</v>
      </c>
      <c r="R5" s="96">
        <v>0</v>
      </c>
      <c r="S5" s="96">
        <v>150270</v>
      </c>
      <c r="T5" s="96">
        <v>0</v>
      </c>
      <c r="U5" s="96">
        <v>9669600</v>
      </c>
      <c r="V5" s="96">
        <v>966960</v>
      </c>
      <c r="W5" s="98">
        <f t="shared" ref="W5:W32" si="1">SUM(O5:V5)</f>
        <v>12224870</v>
      </c>
      <c r="X5" s="99">
        <f t="shared" ref="X5:X33" si="2">N5-W5</f>
        <v>20460547</v>
      </c>
    </row>
    <row r="6" spans="2:24" ht="23.1" customHeight="1" x14ac:dyDescent="0.3">
      <c r="B6" s="100">
        <v>45809</v>
      </c>
      <c r="C6" s="101" t="s">
        <v>136</v>
      </c>
      <c r="D6" s="101" t="s">
        <v>29</v>
      </c>
      <c r="E6" s="101" t="s">
        <v>85</v>
      </c>
      <c r="F6" s="61">
        <v>12500000</v>
      </c>
      <c r="G6" s="61">
        <v>0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6058673</v>
      </c>
      <c r="N6" s="62">
        <f t="shared" si="0"/>
        <v>18558673</v>
      </c>
      <c r="O6" s="61">
        <v>277650</v>
      </c>
      <c r="P6" s="61">
        <v>443120</v>
      </c>
      <c r="Q6" s="61">
        <v>0</v>
      </c>
      <c r="R6" s="61">
        <v>167020</v>
      </c>
      <c r="S6" s="61">
        <v>57380</v>
      </c>
      <c r="T6" s="61">
        <v>0</v>
      </c>
      <c r="U6" s="61">
        <v>2867880</v>
      </c>
      <c r="V6" s="61">
        <v>286780</v>
      </c>
      <c r="W6" s="63">
        <f>SUM(O6:V6)</f>
        <v>4099830</v>
      </c>
      <c r="X6" s="64">
        <f>N6-W6</f>
        <v>14458843</v>
      </c>
    </row>
    <row r="7" spans="2:24" ht="23.1" customHeight="1" x14ac:dyDescent="0.3">
      <c r="B7" s="59" t="s">
        <v>15</v>
      </c>
      <c r="C7" s="60" t="s">
        <v>114</v>
      </c>
      <c r="D7" s="60" t="s">
        <v>22</v>
      </c>
      <c r="E7" s="60" t="s">
        <v>86</v>
      </c>
      <c r="F7" s="61">
        <v>0</v>
      </c>
      <c r="G7" s="61">
        <v>0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2">
        <f t="shared" si="0"/>
        <v>0</v>
      </c>
      <c r="O7" s="61">
        <v>0</v>
      </c>
      <c r="P7" s="61">
        <v>0</v>
      </c>
      <c r="Q7" s="61">
        <v>0</v>
      </c>
      <c r="R7" s="61">
        <v>0</v>
      </c>
      <c r="S7" s="61">
        <v>0</v>
      </c>
      <c r="T7" s="61">
        <v>0</v>
      </c>
      <c r="U7" s="61">
        <v>0</v>
      </c>
      <c r="V7" s="61">
        <v>0</v>
      </c>
      <c r="W7" s="63">
        <f t="shared" si="1"/>
        <v>0</v>
      </c>
      <c r="X7" s="64">
        <f t="shared" si="2"/>
        <v>0</v>
      </c>
    </row>
    <row r="8" spans="2:24" ht="23.1" customHeight="1" x14ac:dyDescent="0.3">
      <c r="B8" s="59" t="s">
        <v>2</v>
      </c>
      <c r="C8" s="60" t="s">
        <v>115</v>
      </c>
      <c r="D8" s="60" t="s">
        <v>23</v>
      </c>
      <c r="E8" s="60" t="s">
        <v>86</v>
      </c>
      <c r="F8" s="61">
        <v>6666667</v>
      </c>
      <c r="G8" s="61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2">
        <f t="shared" si="0"/>
        <v>6666667</v>
      </c>
      <c r="O8" s="61">
        <v>277650</v>
      </c>
      <c r="P8" s="61">
        <v>241550</v>
      </c>
      <c r="Q8" s="61">
        <v>50230</v>
      </c>
      <c r="R8" s="61">
        <v>60000</v>
      </c>
      <c r="S8" s="61">
        <v>31280</v>
      </c>
      <c r="T8" s="61">
        <v>0</v>
      </c>
      <c r="U8" s="61">
        <v>445340</v>
      </c>
      <c r="V8" s="61">
        <v>44530</v>
      </c>
      <c r="W8" s="63">
        <f t="shared" si="1"/>
        <v>1150580</v>
      </c>
      <c r="X8" s="64">
        <f t="shared" si="2"/>
        <v>5516087</v>
      </c>
    </row>
    <row r="9" spans="2:24" ht="23.1" customHeight="1" x14ac:dyDescent="0.3">
      <c r="B9" s="59" t="s">
        <v>3</v>
      </c>
      <c r="C9" s="60" t="s">
        <v>116</v>
      </c>
      <c r="D9" s="60" t="s">
        <v>24</v>
      </c>
      <c r="E9" s="60" t="s">
        <v>84</v>
      </c>
      <c r="F9" s="61">
        <v>3158333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2">
        <f t="shared" si="0"/>
        <v>3158333</v>
      </c>
      <c r="O9" s="61">
        <v>131170</v>
      </c>
      <c r="P9" s="61">
        <v>112060</v>
      </c>
      <c r="Q9" s="61">
        <v>0</v>
      </c>
      <c r="R9" s="61">
        <v>28420</v>
      </c>
      <c r="S9" s="61">
        <v>14510</v>
      </c>
      <c r="T9" s="61">
        <v>0</v>
      </c>
      <c r="U9" s="61">
        <v>86330</v>
      </c>
      <c r="V9" s="61">
        <v>8630</v>
      </c>
      <c r="W9" s="63">
        <f t="shared" si="1"/>
        <v>381120</v>
      </c>
      <c r="X9" s="64">
        <f t="shared" si="2"/>
        <v>2777213</v>
      </c>
    </row>
    <row r="10" spans="2:24" ht="23.1" customHeight="1" x14ac:dyDescent="0.3">
      <c r="B10" s="59" t="s">
        <v>4</v>
      </c>
      <c r="C10" s="60" t="s">
        <v>117</v>
      </c>
      <c r="D10" s="60" t="s">
        <v>25</v>
      </c>
      <c r="E10" s="60" t="s">
        <v>84</v>
      </c>
      <c r="F10" s="61">
        <v>5466667</v>
      </c>
      <c r="G10" s="61">
        <v>0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2">
        <f t="shared" si="0"/>
        <v>5466667</v>
      </c>
      <c r="O10" s="61">
        <v>244980</v>
      </c>
      <c r="P10" s="61">
        <v>212350</v>
      </c>
      <c r="Q10" s="61">
        <v>0</v>
      </c>
      <c r="R10" s="61">
        <v>49200</v>
      </c>
      <c r="S10" s="61">
        <v>27500</v>
      </c>
      <c r="T10" s="61">
        <v>0</v>
      </c>
      <c r="U10" s="61">
        <v>399980</v>
      </c>
      <c r="V10" s="61">
        <v>39990</v>
      </c>
      <c r="W10" s="63">
        <f t="shared" si="1"/>
        <v>974000</v>
      </c>
      <c r="X10" s="64">
        <f t="shared" si="2"/>
        <v>4492667</v>
      </c>
    </row>
    <row r="11" spans="2:24" ht="23.1" customHeight="1" x14ac:dyDescent="0.3">
      <c r="B11" s="59" t="s">
        <v>5</v>
      </c>
      <c r="C11" s="60" t="s">
        <v>118</v>
      </c>
      <c r="D11" s="60" t="s">
        <v>26</v>
      </c>
      <c r="E11" s="60" t="s">
        <v>86</v>
      </c>
      <c r="F11" s="61">
        <v>3441667</v>
      </c>
      <c r="G11" s="61">
        <v>0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2">
        <f t="shared" si="0"/>
        <v>3441667</v>
      </c>
      <c r="O11" s="61">
        <v>123520</v>
      </c>
      <c r="P11" s="61">
        <v>120230</v>
      </c>
      <c r="Q11" s="61">
        <v>0</v>
      </c>
      <c r="R11" s="61">
        <v>30970</v>
      </c>
      <c r="S11" s="61">
        <v>15570</v>
      </c>
      <c r="T11" s="61">
        <v>0</v>
      </c>
      <c r="U11" s="61">
        <v>119880</v>
      </c>
      <c r="V11" s="61">
        <v>11980</v>
      </c>
      <c r="W11" s="63">
        <f t="shared" si="1"/>
        <v>422150</v>
      </c>
      <c r="X11" s="64">
        <f t="shared" si="2"/>
        <v>3019517</v>
      </c>
    </row>
    <row r="12" spans="2:24" ht="23.1" customHeight="1" x14ac:dyDescent="0.3">
      <c r="B12" s="59" t="s">
        <v>6</v>
      </c>
      <c r="C12" s="60" t="s">
        <v>119</v>
      </c>
      <c r="D12" s="60" t="s">
        <v>27</v>
      </c>
      <c r="E12" s="60" t="s">
        <v>86</v>
      </c>
      <c r="F12" s="61">
        <v>5416667</v>
      </c>
      <c r="G12" s="61">
        <v>0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2">
        <f t="shared" si="0"/>
        <v>5416667</v>
      </c>
      <c r="O12" s="61">
        <v>242410</v>
      </c>
      <c r="P12" s="61">
        <v>192800</v>
      </c>
      <c r="Q12" s="61">
        <v>0</v>
      </c>
      <c r="R12" s="61">
        <v>48750</v>
      </c>
      <c r="S12" s="61">
        <v>24960</v>
      </c>
      <c r="T12" s="61">
        <v>0</v>
      </c>
      <c r="U12" s="61">
        <v>362510</v>
      </c>
      <c r="V12" s="61">
        <v>36250</v>
      </c>
      <c r="W12" s="63">
        <f t="shared" si="1"/>
        <v>907680</v>
      </c>
      <c r="X12" s="64">
        <f t="shared" si="2"/>
        <v>4508987</v>
      </c>
    </row>
    <row r="13" spans="2:24" ht="23.1" customHeight="1" x14ac:dyDescent="0.3">
      <c r="B13" s="59" t="s">
        <v>7</v>
      </c>
      <c r="C13" s="60" t="s">
        <v>120</v>
      </c>
      <c r="D13" s="60" t="s">
        <v>28</v>
      </c>
      <c r="E13" s="60" t="s">
        <v>84</v>
      </c>
      <c r="F13" s="61">
        <v>4041667</v>
      </c>
      <c r="G13" s="61">
        <v>0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2">
        <f t="shared" si="0"/>
        <v>4041667</v>
      </c>
      <c r="O13" s="61">
        <v>170190</v>
      </c>
      <c r="P13" s="61">
        <v>136260</v>
      </c>
      <c r="Q13" s="61">
        <v>0</v>
      </c>
      <c r="R13" s="61">
        <v>36370</v>
      </c>
      <c r="S13" s="61">
        <v>17640</v>
      </c>
      <c r="T13" s="61">
        <v>0</v>
      </c>
      <c r="U13" s="61">
        <v>201300</v>
      </c>
      <c r="V13" s="61">
        <v>20130</v>
      </c>
      <c r="W13" s="63">
        <f t="shared" si="1"/>
        <v>581890</v>
      </c>
      <c r="X13" s="64">
        <f t="shared" si="2"/>
        <v>3459777</v>
      </c>
    </row>
    <row r="14" spans="2:24" ht="23.1" customHeight="1" x14ac:dyDescent="0.3">
      <c r="B14" s="59" t="s">
        <v>9</v>
      </c>
      <c r="C14" s="60" t="s">
        <v>122</v>
      </c>
      <c r="D14" s="60" t="s">
        <v>30</v>
      </c>
      <c r="E14" s="60" t="s">
        <v>87</v>
      </c>
      <c r="F14" s="61">
        <v>4025000</v>
      </c>
      <c r="G14" s="61">
        <v>0</v>
      </c>
      <c r="H14" s="61">
        <v>0</v>
      </c>
      <c r="I14" s="61">
        <v>0</v>
      </c>
      <c r="J14" s="61">
        <v>0</v>
      </c>
      <c r="K14" s="61">
        <v>0</v>
      </c>
      <c r="L14" s="61">
        <v>0</v>
      </c>
      <c r="M14" s="61">
        <v>0</v>
      </c>
      <c r="N14" s="62">
        <f t="shared" si="0"/>
        <v>4025000</v>
      </c>
      <c r="O14" s="61">
        <v>180940</v>
      </c>
      <c r="P14" s="61">
        <v>151880</v>
      </c>
      <c r="Q14" s="61">
        <v>0</v>
      </c>
      <c r="R14" s="61">
        <v>36220</v>
      </c>
      <c r="S14" s="61">
        <v>19660</v>
      </c>
      <c r="T14" s="61">
        <v>0</v>
      </c>
      <c r="U14" s="61">
        <v>198630</v>
      </c>
      <c r="V14" s="61">
        <v>19860</v>
      </c>
      <c r="W14" s="63">
        <f t="shared" si="1"/>
        <v>607190</v>
      </c>
      <c r="X14" s="64">
        <f t="shared" si="2"/>
        <v>3417810</v>
      </c>
    </row>
    <row r="15" spans="2:24" ht="23.1" customHeight="1" x14ac:dyDescent="0.3">
      <c r="B15" s="59" t="s">
        <v>10</v>
      </c>
      <c r="C15" s="60" t="s">
        <v>123</v>
      </c>
      <c r="D15" s="60" t="s">
        <v>31</v>
      </c>
      <c r="E15" s="60" t="s">
        <v>86</v>
      </c>
      <c r="F15" s="61">
        <v>10333333</v>
      </c>
      <c r="G15" s="61">
        <v>0</v>
      </c>
      <c r="H15" s="61">
        <v>0</v>
      </c>
      <c r="I15" s="61">
        <v>0</v>
      </c>
      <c r="J15" s="61">
        <v>0</v>
      </c>
      <c r="K15" s="61">
        <v>0</v>
      </c>
      <c r="L15" s="61">
        <v>0</v>
      </c>
      <c r="M15" s="61">
        <v>0</v>
      </c>
      <c r="N15" s="62">
        <f t="shared" si="0"/>
        <v>10333333</v>
      </c>
      <c r="O15" s="61">
        <v>277650</v>
      </c>
      <c r="P15" s="61">
        <v>390540</v>
      </c>
      <c r="Q15" s="61">
        <v>0</v>
      </c>
      <c r="R15" s="61">
        <v>92990</v>
      </c>
      <c r="S15" s="61">
        <v>50570</v>
      </c>
      <c r="T15" s="61">
        <v>0</v>
      </c>
      <c r="U15" s="61">
        <v>1646730</v>
      </c>
      <c r="V15" s="61">
        <v>164670</v>
      </c>
      <c r="W15" s="63">
        <f t="shared" si="1"/>
        <v>2623150</v>
      </c>
      <c r="X15" s="64">
        <f t="shared" si="2"/>
        <v>7710183</v>
      </c>
    </row>
    <row r="16" spans="2:24" ht="23.1" customHeight="1" x14ac:dyDescent="0.3">
      <c r="B16" s="66">
        <v>41699</v>
      </c>
      <c r="C16" s="60" t="s">
        <v>124</v>
      </c>
      <c r="D16" s="60" t="s">
        <v>32</v>
      </c>
      <c r="E16" s="60" t="s">
        <v>86</v>
      </c>
      <c r="F16" s="61">
        <v>6083333</v>
      </c>
      <c r="G16" s="61">
        <v>0</v>
      </c>
      <c r="H16" s="61">
        <v>0</v>
      </c>
      <c r="I16" s="61">
        <v>0</v>
      </c>
      <c r="J16" s="61">
        <v>0</v>
      </c>
      <c r="K16" s="61">
        <v>0</v>
      </c>
      <c r="L16" s="61">
        <v>0</v>
      </c>
      <c r="M16" s="61">
        <v>0</v>
      </c>
      <c r="N16" s="62">
        <f t="shared" si="0"/>
        <v>6083333</v>
      </c>
      <c r="O16" s="61">
        <v>271530</v>
      </c>
      <c r="P16" s="61">
        <v>222110</v>
      </c>
      <c r="Q16" s="61">
        <v>0</v>
      </c>
      <c r="R16" s="61">
        <v>54740</v>
      </c>
      <c r="S16" s="61">
        <v>28760</v>
      </c>
      <c r="T16" s="61">
        <v>0</v>
      </c>
      <c r="U16" s="61">
        <v>477340</v>
      </c>
      <c r="V16" s="61">
        <v>47730</v>
      </c>
      <c r="W16" s="63">
        <f t="shared" si="1"/>
        <v>1102210</v>
      </c>
      <c r="X16" s="64">
        <f t="shared" si="2"/>
        <v>4981123</v>
      </c>
    </row>
    <row r="17" spans="2:24" ht="23.1" customHeight="1" x14ac:dyDescent="0.3">
      <c r="B17" s="59" t="s">
        <v>11</v>
      </c>
      <c r="C17" s="60" t="s">
        <v>125</v>
      </c>
      <c r="D17" s="60" t="s">
        <v>33</v>
      </c>
      <c r="E17" s="60" t="s">
        <v>87</v>
      </c>
      <c r="F17" s="61">
        <v>3766667</v>
      </c>
      <c r="G17" s="61">
        <v>0</v>
      </c>
      <c r="H17" s="61">
        <v>0</v>
      </c>
      <c r="I17" s="61">
        <v>0</v>
      </c>
      <c r="J17" s="61">
        <v>0</v>
      </c>
      <c r="K17" s="61">
        <v>0</v>
      </c>
      <c r="L17" s="61">
        <v>0</v>
      </c>
      <c r="M17" s="61">
        <v>0</v>
      </c>
      <c r="N17" s="62">
        <f t="shared" si="0"/>
        <v>3766667</v>
      </c>
      <c r="O17" s="61">
        <v>167980</v>
      </c>
      <c r="P17" s="61">
        <v>142860</v>
      </c>
      <c r="Q17" s="61">
        <v>0</v>
      </c>
      <c r="R17" s="61">
        <v>33900</v>
      </c>
      <c r="S17" s="61">
        <v>18500</v>
      </c>
      <c r="T17" s="61">
        <v>0</v>
      </c>
      <c r="U17" s="61">
        <v>163920</v>
      </c>
      <c r="V17" s="61">
        <v>16390</v>
      </c>
      <c r="W17" s="63">
        <f t="shared" si="1"/>
        <v>543550</v>
      </c>
      <c r="X17" s="64">
        <f t="shared" si="2"/>
        <v>3223117</v>
      </c>
    </row>
    <row r="18" spans="2:24" ht="23.1" customHeight="1" x14ac:dyDescent="0.3">
      <c r="B18" s="59" t="s">
        <v>12</v>
      </c>
      <c r="C18" s="60" t="s">
        <v>126</v>
      </c>
      <c r="D18" s="60" t="s">
        <v>34</v>
      </c>
      <c r="E18" s="60" t="s">
        <v>87</v>
      </c>
      <c r="F18" s="61">
        <v>4800000</v>
      </c>
      <c r="G18" s="61">
        <v>0</v>
      </c>
      <c r="H18" s="61">
        <v>50000</v>
      </c>
      <c r="I18" s="61">
        <v>0</v>
      </c>
      <c r="J18" s="61">
        <v>0</v>
      </c>
      <c r="K18" s="61">
        <v>0</v>
      </c>
      <c r="L18" s="61">
        <v>0</v>
      </c>
      <c r="M18" s="61">
        <v>0</v>
      </c>
      <c r="N18" s="62">
        <f t="shared" si="0"/>
        <v>4850000</v>
      </c>
      <c r="O18" s="61">
        <v>215050</v>
      </c>
      <c r="P18" s="61">
        <v>179300</v>
      </c>
      <c r="Q18" s="61">
        <v>0</v>
      </c>
      <c r="R18" s="61">
        <v>43650</v>
      </c>
      <c r="S18" s="61">
        <v>23220</v>
      </c>
      <c r="T18" s="61">
        <v>0</v>
      </c>
      <c r="U18" s="61">
        <v>313030</v>
      </c>
      <c r="V18" s="61">
        <v>31300</v>
      </c>
      <c r="W18" s="63">
        <f t="shared" si="1"/>
        <v>805550</v>
      </c>
      <c r="X18" s="64">
        <f t="shared" si="2"/>
        <v>4044450</v>
      </c>
    </row>
    <row r="19" spans="2:24" ht="23.1" customHeight="1" x14ac:dyDescent="0.3">
      <c r="B19" s="59" t="s">
        <v>13</v>
      </c>
      <c r="C19" s="60" t="s">
        <v>127</v>
      </c>
      <c r="D19" s="60" t="s">
        <v>35</v>
      </c>
      <c r="E19" s="60" t="s">
        <v>87</v>
      </c>
      <c r="F19" s="61">
        <v>3433333</v>
      </c>
      <c r="G19" s="61">
        <v>0</v>
      </c>
      <c r="H19" s="61">
        <v>0</v>
      </c>
      <c r="I19" s="61">
        <v>0</v>
      </c>
      <c r="J19" s="61">
        <v>0</v>
      </c>
      <c r="K19" s="61">
        <v>0</v>
      </c>
      <c r="L19" s="61">
        <v>0</v>
      </c>
      <c r="M19" s="61">
        <v>0</v>
      </c>
      <c r="N19" s="62">
        <f t="shared" si="0"/>
        <v>3433333</v>
      </c>
      <c r="O19" s="61">
        <v>154500</v>
      </c>
      <c r="P19" s="61">
        <v>121710</v>
      </c>
      <c r="Q19" s="61">
        <v>0</v>
      </c>
      <c r="R19" s="61">
        <v>30890</v>
      </c>
      <c r="S19" s="61">
        <v>15760</v>
      </c>
      <c r="T19" s="61">
        <v>0</v>
      </c>
      <c r="U19" s="61">
        <v>117440</v>
      </c>
      <c r="V19" s="61">
        <v>11740</v>
      </c>
      <c r="W19" s="63">
        <f t="shared" si="1"/>
        <v>452040</v>
      </c>
      <c r="X19" s="64">
        <f t="shared" si="2"/>
        <v>2981293</v>
      </c>
    </row>
    <row r="20" spans="2:24" ht="23.1" customHeight="1" x14ac:dyDescent="0.3">
      <c r="B20" s="59" t="s">
        <v>14</v>
      </c>
      <c r="C20" s="60" t="s">
        <v>128</v>
      </c>
      <c r="D20" s="60" t="s">
        <v>36</v>
      </c>
      <c r="E20" s="60" t="s">
        <v>87</v>
      </c>
      <c r="F20" s="61">
        <v>3441667</v>
      </c>
      <c r="G20" s="61">
        <v>0</v>
      </c>
      <c r="H20" s="61">
        <v>0</v>
      </c>
      <c r="I20" s="61">
        <v>0</v>
      </c>
      <c r="J20" s="61">
        <v>0</v>
      </c>
      <c r="K20" s="61">
        <v>0</v>
      </c>
      <c r="L20" s="61">
        <v>0</v>
      </c>
      <c r="M20" s="61">
        <v>0</v>
      </c>
      <c r="N20" s="62">
        <f t="shared" si="0"/>
        <v>3441667</v>
      </c>
      <c r="O20" s="61">
        <v>150930</v>
      </c>
      <c r="P20" s="61">
        <v>126910</v>
      </c>
      <c r="Q20" s="61">
        <v>0</v>
      </c>
      <c r="R20" s="61">
        <v>30970</v>
      </c>
      <c r="S20" s="61">
        <v>16430</v>
      </c>
      <c r="T20" s="61">
        <v>0</v>
      </c>
      <c r="U20" s="61">
        <v>119880</v>
      </c>
      <c r="V20" s="61">
        <v>11980</v>
      </c>
      <c r="W20" s="63">
        <f t="shared" si="1"/>
        <v>457100</v>
      </c>
      <c r="X20" s="64">
        <f t="shared" si="2"/>
        <v>2984567</v>
      </c>
    </row>
    <row r="21" spans="2:24" ht="23.1" customHeight="1" x14ac:dyDescent="0.3">
      <c r="B21" s="67" t="s">
        <v>16</v>
      </c>
      <c r="C21" s="68" t="s">
        <v>129</v>
      </c>
      <c r="D21" s="68" t="s">
        <v>37</v>
      </c>
      <c r="E21" s="68" t="s">
        <v>86</v>
      </c>
      <c r="F21" s="69">
        <v>3575000</v>
      </c>
      <c r="G21" s="69">
        <v>0</v>
      </c>
      <c r="H21" s="69">
        <v>0</v>
      </c>
      <c r="I21" s="69">
        <v>0</v>
      </c>
      <c r="J21" s="69">
        <v>0</v>
      </c>
      <c r="K21" s="69">
        <v>0</v>
      </c>
      <c r="L21" s="69">
        <v>0</v>
      </c>
      <c r="M21" s="69">
        <v>0</v>
      </c>
      <c r="N21" s="70">
        <f t="shared" si="0"/>
        <v>3575000</v>
      </c>
      <c r="O21" s="61">
        <v>155340</v>
      </c>
      <c r="P21" s="61">
        <v>131380</v>
      </c>
      <c r="Q21" s="61">
        <v>12510</v>
      </c>
      <c r="R21" s="61">
        <v>32170</v>
      </c>
      <c r="S21" s="61">
        <v>17010</v>
      </c>
      <c r="T21" s="61">
        <v>0</v>
      </c>
      <c r="U21" s="61">
        <v>134550</v>
      </c>
      <c r="V21" s="61">
        <v>13450</v>
      </c>
      <c r="W21" s="71">
        <f t="shared" si="1"/>
        <v>496410</v>
      </c>
      <c r="X21" s="72">
        <f t="shared" si="2"/>
        <v>3078590</v>
      </c>
    </row>
    <row r="22" spans="2:24" ht="23.1" customHeight="1" x14ac:dyDescent="0.3">
      <c r="B22" s="73">
        <v>44879</v>
      </c>
      <c r="C22" s="74" t="s">
        <v>130</v>
      </c>
      <c r="D22" s="74" t="s">
        <v>38</v>
      </c>
      <c r="E22" s="74" t="s">
        <v>86</v>
      </c>
      <c r="F22" s="69">
        <v>4791667</v>
      </c>
      <c r="G22" s="69">
        <v>0</v>
      </c>
      <c r="H22" s="69">
        <v>0</v>
      </c>
      <c r="I22" s="69">
        <v>0</v>
      </c>
      <c r="J22" s="69">
        <v>0</v>
      </c>
      <c r="K22" s="69">
        <v>0</v>
      </c>
      <c r="L22" s="69">
        <v>0</v>
      </c>
      <c r="M22" s="69">
        <v>0</v>
      </c>
      <c r="N22" s="75">
        <f t="shared" si="0"/>
        <v>4791667</v>
      </c>
      <c r="O22" s="61">
        <v>193410</v>
      </c>
      <c r="P22" s="61">
        <v>176060</v>
      </c>
      <c r="Q22" s="61">
        <v>18480</v>
      </c>
      <c r="R22" s="61">
        <v>43120</v>
      </c>
      <c r="S22" s="61">
        <v>22800</v>
      </c>
      <c r="T22" s="61">
        <v>0</v>
      </c>
      <c r="U22" s="61">
        <v>304610</v>
      </c>
      <c r="V22" s="61">
        <v>30460</v>
      </c>
      <c r="W22" s="71">
        <f t="shared" si="1"/>
        <v>788940</v>
      </c>
      <c r="X22" s="72">
        <f t="shared" si="2"/>
        <v>4002727</v>
      </c>
    </row>
    <row r="23" spans="2:24" ht="23.1" customHeight="1" x14ac:dyDescent="0.3">
      <c r="B23" s="73">
        <v>44923</v>
      </c>
      <c r="C23" s="74" t="s">
        <v>131</v>
      </c>
      <c r="D23" s="74" t="s">
        <v>39</v>
      </c>
      <c r="E23" s="74" t="s">
        <v>86</v>
      </c>
      <c r="F23" s="69">
        <v>4041667</v>
      </c>
      <c r="G23" s="69">
        <v>0</v>
      </c>
      <c r="H23" s="69">
        <v>0</v>
      </c>
      <c r="I23" s="69">
        <v>0</v>
      </c>
      <c r="J23" s="69">
        <v>0</v>
      </c>
      <c r="K23" s="69">
        <v>0</v>
      </c>
      <c r="L23" s="69">
        <v>0</v>
      </c>
      <c r="M23" s="69">
        <v>0</v>
      </c>
      <c r="N23" s="75">
        <f t="shared" si="0"/>
        <v>4041667</v>
      </c>
      <c r="O23" s="61">
        <v>141250</v>
      </c>
      <c r="P23" s="61">
        <v>128990</v>
      </c>
      <c r="Q23" s="61">
        <v>0</v>
      </c>
      <c r="R23" s="61">
        <v>36370</v>
      </c>
      <c r="S23" s="61">
        <v>16700</v>
      </c>
      <c r="T23" s="61">
        <v>0</v>
      </c>
      <c r="U23" s="61">
        <v>201300</v>
      </c>
      <c r="V23" s="61">
        <v>20130</v>
      </c>
      <c r="W23" s="69">
        <f t="shared" si="1"/>
        <v>544740</v>
      </c>
      <c r="X23" s="72">
        <f t="shared" si="2"/>
        <v>3496927</v>
      </c>
    </row>
    <row r="24" spans="2:24" ht="23.1" customHeight="1" x14ac:dyDescent="0.3">
      <c r="B24" s="73">
        <v>45034</v>
      </c>
      <c r="C24" s="74" t="s">
        <v>132</v>
      </c>
      <c r="D24" s="74" t="s">
        <v>40</v>
      </c>
      <c r="E24" s="74" t="s">
        <v>87</v>
      </c>
      <c r="F24" s="69">
        <v>2983333</v>
      </c>
      <c r="G24" s="69">
        <v>0</v>
      </c>
      <c r="H24" s="69">
        <v>0</v>
      </c>
      <c r="I24" s="69">
        <v>0</v>
      </c>
      <c r="J24" s="69">
        <v>0</v>
      </c>
      <c r="K24" s="69">
        <v>0</v>
      </c>
      <c r="L24" s="69">
        <v>0</v>
      </c>
      <c r="M24" s="69">
        <v>0</v>
      </c>
      <c r="N24" s="75">
        <f t="shared" si="0"/>
        <v>2983333</v>
      </c>
      <c r="O24" s="69">
        <v>117130</v>
      </c>
      <c r="P24" s="69">
        <v>107750</v>
      </c>
      <c r="Q24" s="69">
        <v>21160</v>
      </c>
      <c r="R24" s="69">
        <v>26840</v>
      </c>
      <c r="S24" s="69">
        <v>13950</v>
      </c>
      <c r="T24" s="69">
        <v>0</v>
      </c>
      <c r="U24" s="69">
        <v>72210</v>
      </c>
      <c r="V24" s="69">
        <v>7220</v>
      </c>
      <c r="W24" s="69">
        <f t="shared" si="1"/>
        <v>366260</v>
      </c>
      <c r="X24" s="72">
        <f t="shared" si="2"/>
        <v>2617073</v>
      </c>
    </row>
    <row r="25" spans="2:24" ht="23.1" customHeight="1" x14ac:dyDescent="0.3">
      <c r="B25" s="73">
        <v>45212</v>
      </c>
      <c r="C25" s="74" t="s">
        <v>133</v>
      </c>
      <c r="D25" s="74" t="s">
        <v>41</v>
      </c>
      <c r="E25" s="74" t="s">
        <v>87</v>
      </c>
      <c r="F25" s="69">
        <v>2683333</v>
      </c>
      <c r="G25" s="69">
        <v>0</v>
      </c>
      <c r="H25" s="69">
        <v>0</v>
      </c>
      <c r="I25" s="69">
        <v>0</v>
      </c>
      <c r="J25" s="69">
        <v>0</v>
      </c>
      <c r="K25" s="69">
        <v>0</v>
      </c>
      <c r="L25" s="69">
        <v>0</v>
      </c>
      <c r="M25" s="69">
        <v>0</v>
      </c>
      <c r="N25" s="75">
        <f t="shared" si="0"/>
        <v>2683333</v>
      </c>
      <c r="O25" s="69">
        <v>101020</v>
      </c>
      <c r="P25" s="69">
        <v>92020</v>
      </c>
      <c r="Q25" s="69">
        <v>21060</v>
      </c>
      <c r="R25" s="69">
        <v>24140</v>
      </c>
      <c r="S25" s="69">
        <v>11910</v>
      </c>
      <c r="T25" s="69">
        <v>0</v>
      </c>
      <c r="U25" s="69">
        <v>46540</v>
      </c>
      <c r="V25" s="69">
        <v>4650</v>
      </c>
      <c r="W25" s="69">
        <f t="shared" si="1"/>
        <v>301340</v>
      </c>
      <c r="X25" s="72">
        <f t="shared" si="2"/>
        <v>2381993</v>
      </c>
    </row>
    <row r="26" spans="2:24" ht="23.1" customHeight="1" x14ac:dyDescent="0.3">
      <c r="B26" s="66">
        <v>45366</v>
      </c>
      <c r="C26" s="76" t="s">
        <v>134</v>
      </c>
      <c r="D26" s="76" t="s">
        <v>42</v>
      </c>
      <c r="E26" s="76" t="s">
        <v>86</v>
      </c>
      <c r="F26" s="61">
        <v>3166667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1">
        <v>0</v>
      </c>
      <c r="M26" s="61">
        <v>0</v>
      </c>
      <c r="N26" s="75">
        <f t="shared" si="0"/>
        <v>3166667</v>
      </c>
      <c r="O26" s="61">
        <v>119970</v>
      </c>
      <c r="P26" s="61">
        <v>103780</v>
      </c>
      <c r="Q26" s="61">
        <v>0</v>
      </c>
      <c r="R26" s="61">
        <v>28500</v>
      </c>
      <c r="S26" s="61">
        <v>13440</v>
      </c>
      <c r="T26" s="61">
        <v>0</v>
      </c>
      <c r="U26" s="61">
        <v>88040</v>
      </c>
      <c r="V26" s="61">
        <v>8800</v>
      </c>
      <c r="W26" s="69">
        <f t="shared" si="1"/>
        <v>362530</v>
      </c>
      <c r="X26" s="72">
        <f t="shared" si="2"/>
        <v>2804137</v>
      </c>
    </row>
    <row r="27" spans="2:24" ht="23.1" customHeight="1" x14ac:dyDescent="0.3">
      <c r="B27" s="73">
        <v>45366</v>
      </c>
      <c r="C27" s="74" t="s">
        <v>135</v>
      </c>
      <c r="D27" s="74" t="s">
        <v>43</v>
      </c>
      <c r="E27" s="74" t="s">
        <v>86</v>
      </c>
      <c r="F27" s="69">
        <v>3166667</v>
      </c>
      <c r="G27" s="69">
        <v>0</v>
      </c>
      <c r="H27" s="69">
        <v>0</v>
      </c>
      <c r="I27" s="69">
        <v>0</v>
      </c>
      <c r="J27" s="69">
        <v>0</v>
      </c>
      <c r="K27" s="69">
        <v>0</v>
      </c>
      <c r="L27" s="69">
        <v>0</v>
      </c>
      <c r="M27" s="69">
        <v>0</v>
      </c>
      <c r="N27" s="75">
        <f t="shared" si="0"/>
        <v>3166667</v>
      </c>
      <c r="O27" s="69">
        <v>119970</v>
      </c>
      <c r="P27" s="69">
        <v>97700</v>
      </c>
      <c r="Q27" s="69">
        <v>0</v>
      </c>
      <c r="R27" s="69">
        <v>28500</v>
      </c>
      <c r="S27" s="69">
        <v>12650</v>
      </c>
      <c r="T27" s="69">
        <v>0</v>
      </c>
      <c r="U27" s="69">
        <v>88040</v>
      </c>
      <c r="V27" s="69">
        <v>8800</v>
      </c>
      <c r="W27" s="69">
        <f t="shared" si="1"/>
        <v>355660</v>
      </c>
      <c r="X27" s="72">
        <f t="shared" si="2"/>
        <v>2811007</v>
      </c>
    </row>
    <row r="28" spans="2:24" ht="23.1" customHeight="1" x14ac:dyDescent="0.3">
      <c r="B28" s="66">
        <v>45554</v>
      </c>
      <c r="C28" s="60" t="s">
        <v>137</v>
      </c>
      <c r="D28" s="60" t="s">
        <v>44</v>
      </c>
      <c r="E28" s="60" t="s">
        <v>87</v>
      </c>
      <c r="F28" s="61">
        <v>2583333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1">
        <v>42645</v>
      </c>
      <c r="M28" s="61">
        <v>0</v>
      </c>
      <c r="N28" s="77">
        <f t="shared" si="0"/>
        <v>2625978</v>
      </c>
      <c r="O28" s="61">
        <v>108720</v>
      </c>
      <c r="P28" s="61">
        <v>73050</v>
      </c>
      <c r="Q28" s="61">
        <v>0</v>
      </c>
      <c r="R28" s="61">
        <v>23630</v>
      </c>
      <c r="S28" s="61">
        <v>9460</v>
      </c>
      <c r="T28" s="61">
        <v>0</v>
      </c>
      <c r="U28" s="61">
        <v>43110</v>
      </c>
      <c r="V28" s="61">
        <v>4310</v>
      </c>
      <c r="W28" s="61">
        <f t="shared" si="1"/>
        <v>262280</v>
      </c>
      <c r="X28" s="64">
        <f t="shared" si="2"/>
        <v>2363698</v>
      </c>
    </row>
    <row r="29" spans="2:24" ht="23.1" customHeight="1" x14ac:dyDescent="0.3">
      <c r="B29" s="66">
        <v>45593</v>
      </c>
      <c r="C29" s="60" t="s">
        <v>138</v>
      </c>
      <c r="D29" s="60" t="s">
        <v>45</v>
      </c>
      <c r="E29" s="60" t="s">
        <v>87</v>
      </c>
      <c r="F29" s="61">
        <v>2541667</v>
      </c>
      <c r="G29" s="61">
        <v>0</v>
      </c>
      <c r="H29" s="61">
        <v>0</v>
      </c>
      <c r="I29" s="61">
        <v>0</v>
      </c>
      <c r="J29" s="61">
        <v>0</v>
      </c>
      <c r="K29" s="61">
        <v>0</v>
      </c>
      <c r="L29" s="61">
        <v>27365</v>
      </c>
      <c r="M29" s="61">
        <v>0</v>
      </c>
      <c r="N29" s="77">
        <f t="shared" si="0"/>
        <v>2569032</v>
      </c>
      <c r="O29" s="61">
        <v>108720</v>
      </c>
      <c r="P29" s="61">
        <v>91190</v>
      </c>
      <c r="Q29" s="61">
        <v>0</v>
      </c>
      <c r="R29" s="61">
        <v>23120</v>
      </c>
      <c r="S29" s="61">
        <v>11800</v>
      </c>
      <c r="T29" s="61">
        <v>0</v>
      </c>
      <c r="U29" s="61">
        <v>38830</v>
      </c>
      <c r="V29" s="61">
        <v>3880</v>
      </c>
      <c r="W29" s="61">
        <f t="shared" si="1"/>
        <v>277540</v>
      </c>
      <c r="X29" s="64">
        <f t="shared" si="2"/>
        <v>2291492</v>
      </c>
    </row>
    <row r="30" spans="2:24" ht="23.1" customHeight="1" x14ac:dyDescent="0.3">
      <c r="B30" s="66">
        <v>45627</v>
      </c>
      <c r="C30" s="60" t="s">
        <v>139</v>
      </c>
      <c r="D30" s="60" t="s">
        <v>46</v>
      </c>
      <c r="E30" s="60" t="s">
        <v>86</v>
      </c>
      <c r="F30" s="61">
        <v>3083333</v>
      </c>
      <c r="G30" s="61">
        <v>0</v>
      </c>
      <c r="H30" s="61">
        <v>0</v>
      </c>
      <c r="I30" s="61">
        <v>0</v>
      </c>
      <c r="J30" s="61">
        <v>0</v>
      </c>
      <c r="K30" s="61">
        <v>0</v>
      </c>
      <c r="L30" s="61">
        <v>0</v>
      </c>
      <c r="M30" s="61">
        <v>0</v>
      </c>
      <c r="N30" s="77">
        <f t="shared" si="0"/>
        <v>3083333</v>
      </c>
      <c r="O30" s="61">
        <v>138730</v>
      </c>
      <c r="P30" s="61">
        <v>109300</v>
      </c>
      <c r="Q30" s="61">
        <v>0</v>
      </c>
      <c r="R30" s="61">
        <v>27740</v>
      </c>
      <c r="S30" s="61">
        <v>14150</v>
      </c>
      <c r="T30" s="61">
        <v>0</v>
      </c>
      <c r="U30" s="61">
        <v>81190</v>
      </c>
      <c r="V30" s="61">
        <v>8110</v>
      </c>
      <c r="W30" s="61">
        <f t="shared" si="1"/>
        <v>379220</v>
      </c>
      <c r="X30" s="64">
        <f t="shared" si="2"/>
        <v>2704113</v>
      </c>
    </row>
    <row r="31" spans="2:24" ht="23.1" customHeight="1" x14ac:dyDescent="0.3">
      <c r="B31" s="66">
        <v>45656</v>
      </c>
      <c r="C31" s="60" t="s">
        <v>140</v>
      </c>
      <c r="D31" s="60" t="s">
        <v>47</v>
      </c>
      <c r="E31" s="60" t="s">
        <v>84</v>
      </c>
      <c r="F31" s="61">
        <v>3083333</v>
      </c>
      <c r="G31" s="61">
        <v>0</v>
      </c>
      <c r="H31" s="61">
        <v>0</v>
      </c>
      <c r="I31" s="61">
        <v>0</v>
      </c>
      <c r="J31" s="61">
        <v>0</v>
      </c>
      <c r="K31" s="61">
        <v>0</v>
      </c>
      <c r="L31" s="61">
        <v>0</v>
      </c>
      <c r="M31" s="61">
        <v>0</v>
      </c>
      <c r="N31" s="77">
        <f t="shared" si="0"/>
        <v>3083333</v>
      </c>
      <c r="O31" s="61">
        <v>138730</v>
      </c>
      <c r="P31" s="61">
        <v>109300</v>
      </c>
      <c r="Q31" s="61">
        <v>0</v>
      </c>
      <c r="R31" s="61">
        <v>27740</v>
      </c>
      <c r="S31" s="61">
        <v>14150</v>
      </c>
      <c r="T31" s="61">
        <v>0</v>
      </c>
      <c r="U31" s="61">
        <v>81190</v>
      </c>
      <c r="V31" s="61">
        <v>8110</v>
      </c>
      <c r="W31" s="61">
        <f t="shared" si="1"/>
        <v>379220</v>
      </c>
      <c r="X31" s="64">
        <f t="shared" si="2"/>
        <v>2704113</v>
      </c>
    </row>
    <row r="32" spans="2:24" ht="23.1" customHeight="1" x14ac:dyDescent="0.3">
      <c r="B32" s="73">
        <v>45761</v>
      </c>
      <c r="C32" s="68" t="s">
        <v>141</v>
      </c>
      <c r="D32" s="68" t="s">
        <v>53</v>
      </c>
      <c r="E32" s="68" t="s">
        <v>86</v>
      </c>
      <c r="F32" s="69">
        <v>3000000</v>
      </c>
      <c r="G32" s="69">
        <v>0</v>
      </c>
      <c r="H32" s="69">
        <v>0</v>
      </c>
      <c r="I32" s="69">
        <v>0</v>
      </c>
      <c r="J32" s="69">
        <v>0</v>
      </c>
      <c r="K32" s="69">
        <v>0</v>
      </c>
      <c r="L32" s="69">
        <v>0</v>
      </c>
      <c r="M32" s="69">
        <v>0</v>
      </c>
      <c r="N32" s="75">
        <f t="shared" si="0"/>
        <v>3000000</v>
      </c>
      <c r="O32" s="69">
        <v>135000</v>
      </c>
      <c r="P32" s="69">
        <v>106350</v>
      </c>
      <c r="Q32" s="69">
        <v>0</v>
      </c>
      <c r="R32" s="69">
        <v>27000</v>
      </c>
      <c r="S32" s="69">
        <v>13770</v>
      </c>
      <c r="T32" s="69">
        <v>0</v>
      </c>
      <c r="U32" s="69">
        <v>74350</v>
      </c>
      <c r="V32" s="69">
        <v>7430</v>
      </c>
      <c r="W32" s="69">
        <f t="shared" si="1"/>
        <v>363900</v>
      </c>
      <c r="X32" s="72">
        <f t="shared" si="2"/>
        <v>2636100</v>
      </c>
    </row>
    <row r="33" spans="2:24" ht="23.1" customHeight="1" thickBot="1" x14ac:dyDescent="0.35">
      <c r="B33" s="78">
        <v>45839</v>
      </c>
      <c r="C33" s="102" t="s">
        <v>142</v>
      </c>
      <c r="D33" s="102" t="s">
        <v>55</v>
      </c>
      <c r="E33" s="102" t="s">
        <v>84</v>
      </c>
      <c r="F33" s="69">
        <v>3250000</v>
      </c>
      <c r="G33" s="69">
        <v>0</v>
      </c>
      <c r="H33" s="69">
        <v>0</v>
      </c>
      <c r="I33" s="69">
        <v>0</v>
      </c>
      <c r="J33" s="69">
        <v>0</v>
      </c>
      <c r="K33" s="69">
        <v>0</v>
      </c>
      <c r="L33" s="69">
        <v>0</v>
      </c>
      <c r="M33" s="69">
        <v>0</v>
      </c>
      <c r="N33" s="75">
        <f t="shared" si="0"/>
        <v>3250000</v>
      </c>
      <c r="O33" s="69">
        <v>146250</v>
      </c>
      <c r="P33" s="69">
        <v>115210</v>
      </c>
      <c r="Q33" s="69">
        <v>0</v>
      </c>
      <c r="R33" s="69">
        <v>29250</v>
      </c>
      <c r="S33" s="69">
        <v>14920</v>
      </c>
      <c r="T33" s="69">
        <v>0</v>
      </c>
      <c r="U33" s="69">
        <v>95430</v>
      </c>
      <c r="V33" s="69">
        <v>9540</v>
      </c>
      <c r="W33" s="69">
        <f>SUM(O33:V33)</f>
        <v>410600</v>
      </c>
      <c r="X33" s="72">
        <f t="shared" si="2"/>
        <v>2839400</v>
      </c>
    </row>
    <row r="34" spans="2:24" ht="22.6" customHeight="1" thickBot="1" x14ac:dyDescent="0.35">
      <c r="B34" s="82" t="s">
        <v>95</v>
      </c>
      <c r="C34" s="113" t="s">
        <v>89</v>
      </c>
      <c r="D34" s="91"/>
      <c r="E34" s="84"/>
      <c r="F34" s="85">
        <f t="shared" ref="F34:X34" si="3">SUM(F5:F33)</f>
        <v>149210418</v>
      </c>
      <c r="G34" s="86">
        <f t="shared" si="3"/>
        <v>2000000</v>
      </c>
      <c r="H34" s="86">
        <f t="shared" si="3"/>
        <v>50000</v>
      </c>
      <c r="I34" s="86">
        <f t="shared" si="3"/>
        <v>0</v>
      </c>
      <c r="J34" s="86">
        <f t="shared" si="3"/>
        <v>0</v>
      </c>
      <c r="K34" s="86">
        <f t="shared" si="3"/>
        <v>0</v>
      </c>
      <c r="L34" s="86">
        <f t="shared" si="3"/>
        <v>70010</v>
      </c>
      <c r="M34" s="86">
        <f t="shared" si="3"/>
        <v>6058673</v>
      </c>
      <c r="N34" s="87">
        <f t="shared" si="3"/>
        <v>157389101</v>
      </c>
      <c r="O34" s="88">
        <f t="shared" si="3"/>
        <v>4888040</v>
      </c>
      <c r="P34" s="88">
        <f t="shared" si="3"/>
        <v>5396150</v>
      </c>
      <c r="Q34" s="88">
        <f t="shared" si="3"/>
        <v>123440</v>
      </c>
      <c r="R34" s="88">
        <f t="shared" si="3"/>
        <v>1122210</v>
      </c>
      <c r="S34" s="88">
        <f t="shared" si="3"/>
        <v>698720</v>
      </c>
      <c r="T34" s="88">
        <f t="shared" si="3"/>
        <v>0</v>
      </c>
      <c r="U34" s="88">
        <f t="shared" si="3"/>
        <v>18539180</v>
      </c>
      <c r="V34" s="88">
        <f t="shared" si="3"/>
        <v>1853810</v>
      </c>
      <c r="W34" s="88">
        <f t="shared" si="3"/>
        <v>32621550</v>
      </c>
      <c r="X34" s="89">
        <f t="shared" si="3"/>
        <v>124767551</v>
      </c>
    </row>
    <row r="35" spans="2:24" x14ac:dyDescent="0.3">
      <c r="B35" s="43"/>
      <c r="C35" s="43"/>
      <c r="D35" s="43"/>
      <c r="E35" s="43"/>
      <c r="F35" s="90"/>
      <c r="G35" s="90"/>
      <c r="H35" s="90"/>
      <c r="I35" s="90"/>
      <c r="J35" s="90"/>
      <c r="K35" s="90"/>
      <c r="L35" s="90"/>
      <c r="M35" s="90"/>
      <c r="N35" s="58"/>
      <c r="O35" s="90"/>
      <c r="P35" s="90"/>
      <c r="Q35" s="90"/>
      <c r="R35" s="90"/>
      <c r="S35" s="90"/>
      <c r="T35" s="90"/>
      <c r="U35" s="90"/>
      <c r="V35" s="90"/>
      <c r="W35" s="90"/>
      <c r="X35" s="90"/>
    </row>
    <row r="36" spans="2:24" x14ac:dyDescent="0.3"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123"/>
      <c r="O36" s="90"/>
      <c r="P36" s="90"/>
      <c r="Q36" s="90"/>
      <c r="R36" s="90"/>
      <c r="S36" s="90"/>
      <c r="T36" s="90"/>
      <c r="U36" s="90"/>
      <c r="V36" s="90"/>
      <c r="W36" s="90"/>
      <c r="X36" s="90"/>
    </row>
    <row r="37" spans="2:24" x14ac:dyDescent="0.3"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65"/>
      <c r="O37" s="90"/>
      <c r="P37" s="90"/>
      <c r="Q37" s="90"/>
      <c r="R37" s="90"/>
      <c r="S37" s="90"/>
      <c r="T37" s="90"/>
      <c r="U37" s="90"/>
      <c r="V37" s="90"/>
      <c r="W37" s="90"/>
      <c r="X37" s="90"/>
    </row>
    <row r="38" spans="2:24" x14ac:dyDescent="0.3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90"/>
      <c r="P38" s="90"/>
      <c r="Q38" s="90"/>
      <c r="R38" s="90"/>
      <c r="S38" s="90"/>
      <c r="T38" s="90"/>
      <c r="U38" s="90"/>
      <c r="V38" s="90"/>
      <c r="W38" s="90"/>
      <c r="X38" s="90"/>
    </row>
  </sheetData>
  <autoFilter ref="B4:X35" xr:uid="{CF3ED2FE-5EE1-4C5D-8FE6-C5F2978C00CD}"/>
  <phoneticPr fontId="2" type="noConversion"/>
  <pageMargins left="0.36" right="0.11811023622047245" top="0.74803149606299213" bottom="0.74803149606299213" header="0.31496062992125984" footer="0.31496062992125984"/>
  <pageSetup paperSize="9" scale="5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B600B-D806-45C2-91AD-13696EE66A83}">
  <dimension ref="B1:X38"/>
  <sheetViews>
    <sheetView showGridLines="0" zoomScale="80" zoomScaleNormal="80" workbookViewId="0"/>
  </sheetViews>
  <sheetFormatPr defaultColWidth="9.08984375" defaultRowHeight="13.45" x14ac:dyDescent="0.3"/>
  <cols>
    <col min="1" max="1" width="2" style="42" customWidth="1"/>
    <col min="2" max="2" width="13.54296875" style="42" bestFit="1" customWidth="1"/>
    <col min="3" max="4" width="18.81640625" style="42" bestFit="1" customWidth="1"/>
    <col min="5" max="5" width="13.81640625" style="42" bestFit="1" customWidth="1"/>
    <col min="6" max="7" width="13.6328125" style="42" customWidth="1"/>
    <col min="8" max="8" width="23" style="42" customWidth="1"/>
    <col min="9" max="9" width="14.36328125" style="42" bestFit="1" customWidth="1"/>
    <col min="10" max="10" width="16.1796875" style="42" bestFit="1" customWidth="1"/>
    <col min="11" max="11" width="14.36328125" style="42" bestFit="1" customWidth="1"/>
    <col min="12" max="12" width="14.81640625" style="42" customWidth="1"/>
    <col min="13" max="13" width="15.1796875" style="42" bestFit="1" customWidth="1"/>
    <col min="14" max="14" width="12.6328125" style="42" customWidth="1"/>
    <col min="15" max="15" width="11.54296875" style="42" customWidth="1"/>
    <col min="16" max="16" width="11.453125" style="42" customWidth="1"/>
    <col min="17" max="17" width="19.1796875" style="42" customWidth="1"/>
    <col min="18" max="18" width="11.08984375" style="42" customWidth="1"/>
    <col min="19" max="19" width="15.453125" style="42" customWidth="1"/>
    <col min="20" max="20" width="15.1796875" style="42" bestFit="1" customWidth="1"/>
    <col min="21" max="21" width="12.1796875" style="42" customWidth="1"/>
    <col min="22" max="22" width="12.453125" style="42" customWidth="1"/>
    <col min="23" max="23" width="18.453125" style="42" customWidth="1"/>
    <col min="24" max="24" width="20" style="42" customWidth="1"/>
    <col min="25" max="25" width="9.08984375" style="42"/>
    <col min="26" max="26" width="12.6328125" style="42" bestFit="1" customWidth="1"/>
    <col min="27" max="16384" width="9.08984375" style="42"/>
  </cols>
  <sheetData>
    <row r="1" spans="2:24" ht="9.8000000000000007" customHeight="1" x14ac:dyDescent="0.3"/>
    <row r="2" spans="2:24" s="135" customFormat="1" ht="26.35" customHeight="1" x14ac:dyDescent="0.4">
      <c r="B2" s="133" t="s">
        <v>105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</row>
    <row r="3" spans="2:24" ht="20.3" customHeight="1" thickBot="1" x14ac:dyDescent="0.35"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4" t="s">
        <v>83</v>
      </c>
    </row>
    <row r="4" spans="2:24" s="51" customFormat="1" ht="54.3" thickBot="1" x14ac:dyDescent="0.35">
      <c r="B4" s="45" t="s">
        <v>59</v>
      </c>
      <c r="C4" s="46" t="s">
        <v>60</v>
      </c>
      <c r="D4" s="124" t="s">
        <v>61</v>
      </c>
      <c r="E4" s="47" t="s">
        <v>62</v>
      </c>
      <c r="F4" s="48" t="s">
        <v>63</v>
      </c>
      <c r="G4" s="49" t="s">
        <v>64</v>
      </c>
      <c r="H4" s="108" t="s">
        <v>65</v>
      </c>
      <c r="I4" s="49" t="s">
        <v>66</v>
      </c>
      <c r="J4" s="108" t="s">
        <v>67</v>
      </c>
      <c r="K4" s="49" t="s">
        <v>68</v>
      </c>
      <c r="L4" s="108" t="s">
        <v>69</v>
      </c>
      <c r="M4" s="46" t="s">
        <v>70</v>
      </c>
      <c r="N4" s="47" t="s">
        <v>71</v>
      </c>
      <c r="O4" s="109" t="s">
        <v>72</v>
      </c>
      <c r="P4" s="110" t="s">
        <v>73</v>
      </c>
      <c r="Q4" s="110" t="s">
        <v>74</v>
      </c>
      <c r="R4" s="110" t="s">
        <v>75</v>
      </c>
      <c r="S4" s="110" t="s">
        <v>76</v>
      </c>
      <c r="T4" s="50" t="s">
        <v>77</v>
      </c>
      <c r="U4" s="110" t="s">
        <v>79</v>
      </c>
      <c r="V4" s="110" t="s">
        <v>80</v>
      </c>
      <c r="W4" s="49" t="s">
        <v>81</v>
      </c>
      <c r="X4" s="47" t="s">
        <v>82</v>
      </c>
    </row>
    <row r="5" spans="2:24" ht="23.1" customHeight="1" x14ac:dyDescent="0.3">
      <c r="B5" s="52" t="s">
        <v>1</v>
      </c>
      <c r="C5" s="53" t="s">
        <v>0</v>
      </c>
      <c r="D5" s="53" t="str">
        <f>C5</f>
        <v>Shin Jonghoon Bryan</v>
      </c>
      <c r="E5" s="53" t="s">
        <v>85</v>
      </c>
      <c r="F5" s="96">
        <v>30685417</v>
      </c>
      <c r="G5" s="96">
        <v>2000000</v>
      </c>
      <c r="H5" s="96">
        <v>0</v>
      </c>
      <c r="I5" s="96">
        <v>0</v>
      </c>
      <c r="J5" s="96">
        <v>0</v>
      </c>
      <c r="K5" s="96">
        <v>0</v>
      </c>
      <c r="L5" s="96">
        <v>0</v>
      </c>
      <c r="M5" s="96">
        <v>0</v>
      </c>
      <c r="N5" s="97">
        <f t="shared" ref="N5:N33" si="0">SUM(F5:M5)</f>
        <v>32685417</v>
      </c>
      <c r="O5" s="96">
        <v>295650</v>
      </c>
      <c r="P5" s="96">
        <v>1160390</v>
      </c>
      <c r="Q5" s="96">
        <v>0</v>
      </c>
      <c r="R5" s="96">
        <v>0</v>
      </c>
      <c r="S5" s="96">
        <v>150270</v>
      </c>
      <c r="T5" s="96">
        <v>0</v>
      </c>
      <c r="U5" s="96">
        <v>9669600</v>
      </c>
      <c r="V5" s="96">
        <v>966960</v>
      </c>
      <c r="W5" s="98">
        <f t="shared" ref="W5:W32" si="1">SUM(O5:V5)</f>
        <v>12242870</v>
      </c>
      <c r="X5" s="99">
        <f t="shared" ref="X5:X33" si="2">N5-W5</f>
        <v>20442547</v>
      </c>
    </row>
    <row r="6" spans="2:24" ht="23.1" customHeight="1" x14ac:dyDescent="0.3">
      <c r="B6" s="100">
        <v>45809</v>
      </c>
      <c r="C6" s="101" t="s">
        <v>136</v>
      </c>
      <c r="D6" s="101" t="s">
        <v>29</v>
      </c>
      <c r="E6" s="101" t="s">
        <v>85</v>
      </c>
      <c r="F6" s="61">
        <v>12500000</v>
      </c>
      <c r="G6" s="61">
        <v>0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6058673</v>
      </c>
      <c r="N6" s="62">
        <f t="shared" si="0"/>
        <v>18558673</v>
      </c>
      <c r="O6" s="61">
        <v>295650</v>
      </c>
      <c r="P6" s="61">
        <v>443120</v>
      </c>
      <c r="Q6" s="61">
        <v>0</v>
      </c>
      <c r="R6" s="61">
        <v>167020</v>
      </c>
      <c r="S6" s="61">
        <v>57380</v>
      </c>
      <c r="T6" s="61">
        <v>0</v>
      </c>
      <c r="U6" s="61">
        <v>2867880</v>
      </c>
      <c r="V6" s="61">
        <v>286780</v>
      </c>
      <c r="W6" s="63">
        <f>SUM(O6:V6)</f>
        <v>4117830</v>
      </c>
      <c r="X6" s="64">
        <f>N6-W6</f>
        <v>14440843</v>
      </c>
    </row>
    <row r="7" spans="2:24" ht="23.1" customHeight="1" x14ac:dyDescent="0.3">
      <c r="B7" s="59" t="s">
        <v>15</v>
      </c>
      <c r="C7" s="60" t="s">
        <v>114</v>
      </c>
      <c r="D7" s="60" t="s">
        <v>22</v>
      </c>
      <c r="E7" s="60" t="s">
        <v>86</v>
      </c>
      <c r="F7" s="61">
        <v>0</v>
      </c>
      <c r="G7" s="61">
        <v>0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2">
        <f t="shared" si="0"/>
        <v>0</v>
      </c>
      <c r="O7" s="61">
        <v>0</v>
      </c>
      <c r="P7" s="61">
        <v>0</v>
      </c>
      <c r="Q7" s="61">
        <v>0</v>
      </c>
      <c r="R7" s="61">
        <v>0</v>
      </c>
      <c r="S7" s="61">
        <v>0</v>
      </c>
      <c r="T7" s="61">
        <v>0</v>
      </c>
      <c r="U7" s="61">
        <v>0</v>
      </c>
      <c r="V7" s="61">
        <v>0</v>
      </c>
      <c r="W7" s="63">
        <f t="shared" si="1"/>
        <v>0</v>
      </c>
      <c r="X7" s="64">
        <f t="shared" si="2"/>
        <v>0</v>
      </c>
    </row>
    <row r="8" spans="2:24" ht="23.1" customHeight="1" x14ac:dyDescent="0.3">
      <c r="B8" s="59" t="s">
        <v>2</v>
      </c>
      <c r="C8" s="60" t="s">
        <v>115</v>
      </c>
      <c r="D8" s="60" t="s">
        <v>23</v>
      </c>
      <c r="E8" s="60" t="s">
        <v>86</v>
      </c>
      <c r="F8" s="61">
        <v>6666667</v>
      </c>
      <c r="G8" s="61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2">
        <f t="shared" si="0"/>
        <v>6666667</v>
      </c>
      <c r="O8" s="61">
        <v>295650</v>
      </c>
      <c r="P8" s="61">
        <v>241550</v>
      </c>
      <c r="Q8" s="61">
        <v>50230</v>
      </c>
      <c r="R8" s="61">
        <v>60000</v>
      </c>
      <c r="S8" s="61">
        <v>31280</v>
      </c>
      <c r="T8" s="61">
        <v>0</v>
      </c>
      <c r="U8" s="61">
        <v>445340</v>
      </c>
      <c r="V8" s="61">
        <v>44530</v>
      </c>
      <c r="W8" s="63">
        <f t="shared" si="1"/>
        <v>1168580</v>
      </c>
      <c r="X8" s="64">
        <f t="shared" si="2"/>
        <v>5498087</v>
      </c>
    </row>
    <row r="9" spans="2:24" ht="23.1" customHeight="1" x14ac:dyDescent="0.3">
      <c r="B9" s="59" t="s">
        <v>3</v>
      </c>
      <c r="C9" s="60" t="s">
        <v>116</v>
      </c>
      <c r="D9" s="60" t="s">
        <v>24</v>
      </c>
      <c r="E9" s="60" t="s">
        <v>84</v>
      </c>
      <c r="F9" s="61">
        <v>3158333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2">
        <f t="shared" si="0"/>
        <v>3158333</v>
      </c>
      <c r="O9" s="61">
        <v>148630</v>
      </c>
      <c r="P9" s="61">
        <v>112060</v>
      </c>
      <c r="Q9" s="61">
        <v>0</v>
      </c>
      <c r="R9" s="61">
        <v>28420</v>
      </c>
      <c r="S9" s="61">
        <v>14510</v>
      </c>
      <c r="T9" s="61">
        <v>0</v>
      </c>
      <c r="U9" s="61">
        <v>86330</v>
      </c>
      <c r="V9" s="61">
        <v>8630</v>
      </c>
      <c r="W9" s="63">
        <f t="shared" si="1"/>
        <v>398580</v>
      </c>
      <c r="X9" s="64">
        <f t="shared" si="2"/>
        <v>2759753</v>
      </c>
    </row>
    <row r="10" spans="2:24" ht="23.1" customHeight="1" x14ac:dyDescent="0.3">
      <c r="B10" s="59" t="s">
        <v>4</v>
      </c>
      <c r="C10" s="60" t="s">
        <v>117</v>
      </c>
      <c r="D10" s="60" t="s">
        <v>25</v>
      </c>
      <c r="E10" s="60" t="s">
        <v>84</v>
      </c>
      <c r="F10" s="61">
        <v>2997849</v>
      </c>
      <c r="G10" s="61">
        <v>0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2">
        <f t="shared" si="0"/>
        <v>2997849</v>
      </c>
      <c r="O10" s="61">
        <v>285300</v>
      </c>
      <c r="P10" s="61">
        <v>212350</v>
      </c>
      <c r="Q10" s="61">
        <v>0</v>
      </c>
      <c r="R10" s="61">
        <v>26980</v>
      </c>
      <c r="S10" s="61">
        <v>27500</v>
      </c>
      <c r="T10" s="61">
        <v>0</v>
      </c>
      <c r="U10" s="61">
        <v>399980</v>
      </c>
      <c r="V10" s="61">
        <v>39990</v>
      </c>
      <c r="W10" s="63">
        <f t="shared" si="1"/>
        <v>992100</v>
      </c>
      <c r="X10" s="64">
        <f t="shared" si="2"/>
        <v>2005749</v>
      </c>
    </row>
    <row r="11" spans="2:24" ht="23.1" customHeight="1" x14ac:dyDescent="0.3">
      <c r="B11" s="59" t="s">
        <v>5</v>
      </c>
      <c r="C11" s="60" t="s">
        <v>118</v>
      </c>
      <c r="D11" s="60" t="s">
        <v>26</v>
      </c>
      <c r="E11" s="60" t="s">
        <v>86</v>
      </c>
      <c r="F11" s="61">
        <v>3441667</v>
      </c>
      <c r="G11" s="61">
        <v>0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2">
        <f t="shared" si="0"/>
        <v>3441667</v>
      </c>
      <c r="O11" s="61">
        <v>195160</v>
      </c>
      <c r="P11" s="61">
        <v>120230</v>
      </c>
      <c r="Q11" s="61">
        <v>0</v>
      </c>
      <c r="R11" s="61">
        <v>30970</v>
      </c>
      <c r="S11" s="61">
        <v>15570</v>
      </c>
      <c r="T11" s="61">
        <v>0</v>
      </c>
      <c r="U11" s="61">
        <v>119880</v>
      </c>
      <c r="V11" s="61">
        <v>11980</v>
      </c>
      <c r="W11" s="63">
        <f t="shared" si="1"/>
        <v>493790</v>
      </c>
      <c r="X11" s="64">
        <f t="shared" si="2"/>
        <v>2947877</v>
      </c>
    </row>
    <row r="12" spans="2:24" ht="23.1" customHeight="1" x14ac:dyDescent="0.3">
      <c r="B12" s="59" t="s">
        <v>6</v>
      </c>
      <c r="C12" s="60" t="s">
        <v>119</v>
      </c>
      <c r="D12" s="60" t="s">
        <v>27</v>
      </c>
      <c r="E12" s="60" t="s">
        <v>86</v>
      </c>
      <c r="F12" s="61">
        <v>5416667</v>
      </c>
      <c r="G12" s="61">
        <v>0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2">
        <f t="shared" si="0"/>
        <v>5416667</v>
      </c>
      <c r="O12" s="61">
        <v>238990</v>
      </c>
      <c r="P12" s="61">
        <v>192800</v>
      </c>
      <c r="Q12" s="61">
        <v>0</v>
      </c>
      <c r="R12" s="61">
        <v>48750</v>
      </c>
      <c r="S12" s="61">
        <v>24960</v>
      </c>
      <c r="T12" s="61">
        <v>0</v>
      </c>
      <c r="U12" s="61">
        <v>362510</v>
      </c>
      <c r="V12" s="61">
        <v>36250</v>
      </c>
      <c r="W12" s="63">
        <f t="shared" si="1"/>
        <v>904260</v>
      </c>
      <c r="X12" s="64">
        <f t="shared" si="2"/>
        <v>4512407</v>
      </c>
    </row>
    <row r="13" spans="2:24" ht="23.1" customHeight="1" x14ac:dyDescent="0.3">
      <c r="B13" s="59" t="s">
        <v>7</v>
      </c>
      <c r="C13" s="60" t="s">
        <v>120</v>
      </c>
      <c r="D13" s="60" t="s">
        <v>28</v>
      </c>
      <c r="E13" s="60" t="s">
        <v>84</v>
      </c>
      <c r="F13" s="61">
        <v>4041667</v>
      </c>
      <c r="G13" s="61">
        <v>0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2">
        <f t="shared" si="0"/>
        <v>4041667</v>
      </c>
      <c r="O13" s="61">
        <v>170010</v>
      </c>
      <c r="P13" s="61">
        <v>136260</v>
      </c>
      <c r="Q13" s="61">
        <v>0</v>
      </c>
      <c r="R13" s="61">
        <v>36370</v>
      </c>
      <c r="S13" s="61">
        <v>17640</v>
      </c>
      <c r="T13" s="61">
        <v>0</v>
      </c>
      <c r="U13" s="61">
        <v>201300</v>
      </c>
      <c r="V13" s="61">
        <v>20130</v>
      </c>
      <c r="W13" s="63">
        <f t="shared" si="1"/>
        <v>581710</v>
      </c>
      <c r="X13" s="64">
        <f t="shared" si="2"/>
        <v>3459957</v>
      </c>
    </row>
    <row r="14" spans="2:24" ht="23.1" customHeight="1" x14ac:dyDescent="0.3">
      <c r="B14" s="59" t="s">
        <v>9</v>
      </c>
      <c r="C14" s="60" t="s">
        <v>122</v>
      </c>
      <c r="D14" s="60" t="s">
        <v>30</v>
      </c>
      <c r="E14" s="60" t="s">
        <v>87</v>
      </c>
      <c r="F14" s="61">
        <v>4025000</v>
      </c>
      <c r="G14" s="61">
        <v>0</v>
      </c>
      <c r="H14" s="61">
        <v>0</v>
      </c>
      <c r="I14" s="61">
        <v>0</v>
      </c>
      <c r="J14" s="61">
        <v>0</v>
      </c>
      <c r="K14" s="61">
        <v>0</v>
      </c>
      <c r="L14" s="61">
        <v>0</v>
      </c>
      <c r="M14" s="61">
        <v>0</v>
      </c>
      <c r="N14" s="62">
        <f t="shared" si="0"/>
        <v>4025000</v>
      </c>
      <c r="O14" s="61">
        <v>198320</v>
      </c>
      <c r="P14" s="61">
        <v>151880</v>
      </c>
      <c r="Q14" s="61">
        <v>0</v>
      </c>
      <c r="R14" s="61">
        <v>36220</v>
      </c>
      <c r="S14" s="61">
        <v>19660</v>
      </c>
      <c r="T14" s="61">
        <v>0</v>
      </c>
      <c r="U14" s="61">
        <v>198630</v>
      </c>
      <c r="V14" s="61">
        <v>19860</v>
      </c>
      <c r="W14" s="63">
        <f t="shared" si="1"/>
        <v>624570</v>
      </c>
      <c r="X14" s="64">
        <f t="shared" si="2"/>
        <v>3400430</v>
      </c>
    </row>
    <row r="15" spans="2:24" ht="23.1" customHeight="1" x14ac:dyDescent="0.3">
      <c r="B15" s="59" t="s">
        <v>10</v>
      </c>
      <c r="C15" s="60" t="s">
        <v>123</v>
      </c>
      <c r="D15" s="60" t="s">
        <v>31</v>
      </c>
      <c r="E15" s="60" t="s">
        <v>86</v>
      </c>
      <c r="F15" s="61">
        <v>10333333</v>
      </c>
      <c r="G15" s="61">
        <v>0</v>
      </c>
      <c r="H15" s="61">
        <v>0</v>
      </c>
      <c r="I15" s="61">
        <v>0</v>
      </c>
      <c r="J15" s="61">
        <v>0</v>
      </c>
      <c r="K15" s="61">
        <v>0</v>
      </c>
      <c r="L15" s="61">
        <v>0</v>
      </c>
      <c r="M15" s="61">
        <v>0</v>
      </c>
      <c r="N15" s="62">
        <f t="shared" si="0"/>
        <v>10333333</v>
      </c>
      <c r="O15" s="61">
        <v>295650</v>
      </c>
      <c r="P15" s="61">
        <v>390540</v>
      </c>
      <c r="Q15" s="61">
        <v>0</v>
      </c>
      <c r="R15" s="61">
        <v>92990</v>
      </c>
      <c r="S15" s="61">
        <v>50570</v>
      </c>
      <c r="T15" s="61">
        <v>0</v>
      </c>
      <c r="U15" s="61">
        <v>1646730</v>
      </c>
      <c r="V15" s="61">
        <v>164670</v>
      </c>
      <c r="W15" s="63">
        <f t="shared" si="1"/>
        <v>2641150</v>
      </c>
      <c r="X15" s="64">
        <f t="shared" si="2"/>
        <v>7692183</v>
      </c>
    </row>
    <row r="16" spans="2:24" ht="23.1" customHeight="1" x14ac:dyDescent="0.3">
      <c r="B16" s="66">
        <v>41699</v>
      </c>
      <c r="C16" s="60" t="s">
        <v>124</v>
      </c>
      <c r="D16" s="60" t="s">
        <v>32</v>
      </c>
      <c r="E16" s="60" t="s">
        <v>86</v>
      </c>
      <c r="F16" s="61">
        <v>6083333</v>
      </c>
      <c r="G16" s="61">
        <v>0</v>
      </c>
      <c r="H16" s="61">
        <v>0</v>
      </c>
      <c r="I16" s="61">
        <v>0</v>
      </c>
      <c r="J16" s="61">
        <v>0</v>
      </c>
      <c r="K16" s="61">
        <v>0</v>
      </c>
      <c r="L16" s="61">
        <v>0</v>
      </c>
      <c r="M16" s="61">
        <v>0</v>
      </c>
      <c r="N16" s="62">
        <f t="shared" si="0"/>
        <v>6083333</v>
      </c>
      <c r="O16" s="61">
        <v>283050</v>
      </c>
      <c r="P16" s="61">
        <v>222110</v>
      </c>
      <c r="Q16" s="61">
        <v>0</v>
      </c>
      <c r="R16" s="61">
        <v>54740</v>
      </c>
      <c r="S16" s="61">
        <v>28760</v>
      </c>
      <c r="T16" s="61">
        <v>0</v>
      </c>
      <c r="U16" s="61">
        <v>477340</v>
      </c>
      <c r="V16" s="61">
        <v>47730</v>
      </c>
      <c r="W16" s="63">
        <f t="shared" si="1"/>
        <v>1113730</v>
      </c>
      <c r="X16" s="64">
        <f t="shared" si="2"/>
        <v>4969603</v>
      </c>
    </row>
    <row r="17" spans="2:24" ht="23.1" customHeight="1" x14ac:dyDescent="0.3">
      <c r="B17" s="59" t="s">
        <v>11</v>
      </c>
      <c r="C17" s="60" t="s">
        <v>125</v>
      </c>
      <c r="D17" s="60" t="s">
        <v>33</v>
      </c>
      <c r="E17" s="60" t="s">
        <v>87</v>
      </c>
      <c r="F17" s="61">
        <v>3766667</v>
      </c>
      <c r="G17" s="61">
        <v>0</v>
      </c>
      <c r="H17" s="61">
        <v>0</v>
      </c>
      <c r="I17" s="61">
        <v>0</v>
      </c>
      <c r="J17" s="61">
        <v>0</v>
      </c>
      <c r="K17" s="61">
        <v>0</v>
      </c>
      <c r="L17" s="61">
        <v>0</v>
      </c>
      <c r="M17" s="61">
        <v>0</v>
      </c>
      <c r="N17" s="62">
        <f t="shared" si="0"/>
        <v>3766667</v>
      </c>
      <c r="O17" s="61">
        <v>188680</v>
      </c>
      <c r="P17" s="61">
        <v>142860</v>
      </c>
      <c r="Q17" s="61">
        <v>0</v>
      </c>
      <c r="R17" s="61">
        <v>33900</v>
      </c>
      <c r="S17" s="61">
        <v>18500</v>
      </c>
      <c r="T17" s="61">
        <v>0</v>
      </c>
      <c r="U17" s="61">
        <v>163920</v>
      </c>
      <c r="V17" s="61">
        <v>16390</v>
      </c>
      <c r="W17" s="63">
        <f t="shared" si="1"/>
        <v>564250</v>
      </c>
      <c r="X17" s="64">
        <f t="shared" si="2"/>
        <v>3202417</v>
      </c>
    </row>
    <row r="18" spans="2:24" ht="23.1" customHeight="1" x14ac:dyDescent="0.3">
      <c r="B18" s="59" t="s">
        <v>12</v>
      </c>
      <c r="C18" s="60" t="s">
        <v>126</v>
      </c>
      <c r="D18" s="60" t="s">
        <v>34</v>
      </c>
      <c r="E18" s="60" t="s">
        <v>87</v>
      </c>
      <c r="F18" s="61">
        <v>4800000</v>
      </c>
      <c r="G18" s="61">
        <v>0</v>
      </c>
      <c r="H18" s="61">
        <v>50000</v>
      </c>
      <c r="I18" s="61">
        <v>0</v>
      </c>
      <c r="J18" s="61">
        <v>0</v>
      </c>
      <c r="K18" s="61">
        <v>0</v>
      </c>
      <c r="L18" s="61">
        <v>0</v>
      </c>
      <c r="M18" s="61">
        <v>0</v>
      </c>
      <c r="N18" s="62">
        <f t="shared" si="0"/>
        <v>4850000</v>
      </c>
      <c r="O18" s="61">
        <v>232610</v>
      </c>
      <c r="P18" s="61">
        <v>179300</v>
      </c>
      <c r="Q18" s="61">
        <v>0</v>
      </c>
      <c r="R18" s="61">
        <v>43650</v>
      </c>
      <c r="S18" s="61">
        <v>23220</v>
      </c>
      <c r="T18" s="61">
        <v>0</v>
      </c>
      <c r="U18" s="61">
        <v>313030</v>
      </c>
      <c r="V18" s="61">
        <v>31300</v>
      </c>
      <c r="W18" s="63">
        <f t="shared" si="1"/>
        <v>823110</v>
      </c>
      <c r="X18" s="64">
        <f t="shared" si="2"/>
        <v>4026890</v>
      </c>
    </row>
    <row r="19" spans="2:24" ht="23.1" customHeight="1" x14ac:dyDescent="0.3">
      <c r="B19" s="59" t="s">
        <v>13</v>
      </c>
      <c r="C19" s="60" t="s">
        <v>127</v>
      </c>
      <c r="D19" s="60" t="s">
        <v>35</v>
      </c>
      <c r="E19" s="60" t="s">
        <v>87</v>
      </c>
      <c r="F19" s="61">
        <v>3433333</v>
      </c>
      <c r="G19" s="61">
        <v>0</v>
      </c>
      <c r="H19" s="61">
        <v>0</v>
      </c>
      <c r="I19" s="61">
        <v>0</v>
      </c>
      <c r="J19" s="61">
        <v>0</v>
      </c>
      <c r="K19" s="61">
        <v>0</v>
      </c>
      <c r="L19" s="61">
        <v>49284</v>
      </c>
      <c r="M19" s="61">
        <v>0</v>
      </c>
      <c r="N19" s="62">
        <f t="shared" si="0"/>
        <v>3482617</v>
      </c>
      <c r="O19" s="61">
        <v>154460</v>
      </c>
      <c r="P19" s="61">
        <v>121710</v>
      </c>
      <c r="Q19" s="61">
        <v>0</v>
      </c>
      <c r="R19" s="61">
        <v>31340</v>
      </c>
      <c r="S19" s="61">
        <v>15760</v>
      </c>
      <c r="T19" s="61">
        <v>0</v>
      </c>
      <c r="U19" s="61">
        <v>124770</v>
      </c>
      <c r="V19" s="61">
        <v>12470</v>
      </c>
      <c r="W19" s="63">
        <f t="shared" si="1"/>
        <v>460510</v>
      </c>
      <c r="X19" s="64">
        <f t="shared" si="2"/>
        <v>3022107</v>
      </c>
    </row>
    <row r="20" spans="2:24" ht="23.1" customHeight="1" x14ac:dyDescent="0.3">
      <c r="B20" s="59" t="s">
        <v>14</v>
      </c>
      <c r="C20" s="60" t="s">
        <v>128</v>
      </c>
      <c r="D20" s="60" t="s">
        <v>36</v>
      </c>
      <c r="E20" s="60" t="s">
        <v>87</v>
      </c>
      <c r="F20" s="61">
        <v>3441667</v>
      </c>
      <c r="G20" s="61">
        <v>0</v>
      </c>
      <c r="H20" s="61">
        <v>0</v>
      </c>
      <c r="I20" s="61">
        <v>0</v>
      </c>
      <c r="J20" s="61">
        <v>0</v>
      </c>
      <c r="K20" s="61">
        <v>0</v>
      </c>
      <c r="L20" s="61">
        <v>0</v>
      </c>
      <c r="M20" s="61">
        <v>1000000</v>
      </c>
      <c r="N20" s="62">
        <f t="shared" si="0"/>
        <v>4441667</v>
      </c>
      <c r="O20" s="61">
        <v>165950</v>
      </c>
      <c r="P20" s="61">
        <v>126910</v>
      </c>
      <c r="Q20" s="61">
        <v>0</v>
      </c>
      <c r="R20" s="61">
        <v>39970</v>
      </c>
      <c r="S20" s="61">
        <v>16430</v>
      </c>
      <c r="T20" s="61">
        <v>0</v>
      </c>
      <c r="U20" s="61">
        <v>254700</v>
      </c>
      <c r="V20" s="61">
        <v>25470</v>
      </c>
      <c r="W20" s="63">
        <f t="shared" si="1"/>
        <v>629430</v>
      </c>
      <c r="X20" s="64">
        <f t="shared" si="2"/>
        <v>3812237</v>
      </c>
    </row>
    <row r="21" spans="2:24" ht="23.1" customHeight="1" x14ac:dyDescent="0.3">
      <c r="B21" s="67" t="s">
        <v>16</v>
      </c>
      <c r="C21" s="68" t="s">
        <v>129</v>
      </c>
      <c r="D21" s="68" t="s">
        <v>37</v>
      </c>
      <c r="E21" s="68" t="s">
        <v>86</v>
      </c>
      <c r="F21" s="69">
        <v>3575000</v>
      </c>
      <c r="G21" s="69">
        <v>0</v>
      </c>
      <c r="H21" s="69">
        <v>0</v>
      </c>
      <c r="I21" s="69">
        <v>0</v>
      </c>
      <c r="J21" s="69">
        <v>0</v>
      </c>
      <c r="K21" s="69">
        <v>0</v>
      </c>
      <c r="L21" s="69">
        <v>0</v>
      </c>
      <c r="M21" s="69">
        <v>0</v>
      </c>
      <c r="N21" s="70">
        <f t="shared" si="0"/>
        <v>3575000</v>
      </c>
      <c r="O21" s="61">
        <v>172700</v>
      </c>
      <c r="P21" s="61">
        <v>131380</v>
      </c>
      <c r="Q21" s="61">
        <v>12510</v>
      </c>
      <c r="R21" s="61">
        <v>32170</v>
      </c>
      <c r="S21" s="61">
        <v>17010</v>
      </c>
      <c r="T21" s="61">
        <v>0</v>
      </c>
      <c r="U21" s="61">
        <v>134550</v>
      </c>
      <c r="V21" s="61">
        <v>13450</v>
      </c>
      <c r="W21" s="71">
        <f t="shared" si="1"/>
        <v>513770</v>
      </c>
      <c r="X21" s="72">
        <f t="shared" si="2"/>
        <v>3061230</v>
      </c>
    </row>
    <row r="22" spans="2:24" ht="23.1" customHeight="1" x14ac:dyDescent="0.3">
      <c r="B22" s="73">
        <v>44879</v>
      </c>
      <c r="C22" s="74" t="s">
        <v>130</v>
      </c>
      <c r="D22" s="74" t="s">
        <v>38</v>
      </c>
      <c r="E22" s="74" t="s">
        <v>86</v>
      </c>
      <c r="F22" s="69">
        <v>4791667</v>
      </c>
      <c r="G22" s="69">
        <v>0</v>
      </c>
      <c r="H22" s="69">
        <v>0</v>
      </c>
      <c r="I22" s="69">
        <v>0</v>
      </c>
      <c r="J22" s="69">
        <v>0</v>
      </c>
      <c r="K22" s="69">
        <v>0</v>
      </c>
      <c r="L22" s="69">
        <v>0</v>
      </c>
      <c r="M22" s="69">
        <v>0</v>
      </c>
      <c r="N22" s="75">
        <f t="shared" si="0"/>
        <v>4791667</v>
      </c>
      <c r="O22" s="61">
        <v>246230</v>
      </c>
      <c r="P22" s="61">
        <v>176060</v>
      </c>
      <c r="Q22" s="61">
        <v>18480</v>
      </c>
      <c r="R22" s="61">
        <v>43120</v>
      </c>
      <c r="S22" s="61">
        <v>22800</v>
      </c>
      <c r="T22" s="61">
        <v>0</v>
      </c>
      <c r="U22" s="61">
        <v>304610</v>
      </c>
      <c r="V22" s="61">
        <v>30460</v>
      </c>
      <c r="W22" s="71">
        <f t="shared" si="1"/>
        <v>841760</v>
      </c>
      <c r="X22" s="72">
        <f t="shared" si="2"/>
        <v>3949907</v>
      </c>
    </row>
    <row r="23" spans="2:24" ht="23.1" customHeight="1" x14ac:dyDescent="0.3">
      <c r="B23" s="73">
        <v>44923</v>
      </c>
      <c r="C23" s="74" t="s">
        <v>131</v>
      </c>
      <c r="D23" s="74" t="s">
        <v>39</v>
      </c>
      <c r="E23" s="74" t="s">
        <v>86</v>
      </c>
      <c r="F23" s="69">
        <v>4416667</v>
      </c>
      <c r="G23" s="69">
        <v>0</v>
      </c>
      <c r="H23" s="69">
        <v>0</v>
      </c>
      <c r="I23" s="69">
        <v>0</v>
      </c>
      <c r="J23" s="69">
        <v>0</v>
      </c>
      <c r="K23" s="69">
        <v>0</v>
      </c>
      <c r="L23" s="69">
        <v>0</v>
      </c>
      <c r="M23" s="69">
        <v>0</v>
      </c>
      <c r="N23" s="75">
        <f t="shared" si="0"/>
        <v>4416667</v>
      </c>
      <c r="O23" s="61">
        <v>180850</v>
      </c>
      <c r="P23" s="61">
        <v>128990</v>
      </c>
      <c r="Q23" s="61">
        <v>0</v>
      </c>
      <c r="R23" s="61">
        <v>39750</v>
      </c>
      <c r="S23" s="61">
        <v>16700</v>
      </c>
      <c r="T23" s="61">
        <v>0</v>
      </c>
      <c r="U23" s="61">
        <v>201300</v>
      </c>
      <c r="V23" s="61">
        <v>20130</v>
      </c>
      <c r="W23" s="69">
        <f t="shared" si="1"/>
        <v>587720</v>
      </c>
      <c r="X23" s="72">
        <f t="shared" si="2"/>
        <v>3828947</v>
      </c>
    </row>
    <row r="24" spans="2:24" ht="23.1" customHeight="1" x14ac:dyDescent="0.3">
      <c r="B24" s="73">
        <v>45034</v>
      </c>
      <c r="C24" s="74" t="s">
        <v>132</v>
      </c>
      <c r="D24" s="74" t="s">
        <v>40</v>
      </c>
      <c r="E24" s="74" t="s">
        <v>87</v>
      </c>
      <c r="F24" s="69">
        <v>2983333</v>
      </c>
      <c r="G24" s="69">
        <v>0</v>
      </c>
      <c r="H24" s="69">
        <v>0</v>
      </c>
      <c r="I24" s="69">
        <v>0</v>
      </c>
      <c r="J24" s="69">
        <v>0</v>
      </c>
      <c r="K24" s="69">
        <v>0</v>
      </c>
      <c r="L24" s="69">
        <v>0</v>
      </c>
      <c r="M24" s="69">
        <v>0</v>
      </c>
      <c r="N24" s="75">
        <f t="shared" si="0"/>
        <v>2983333</v>
      </c>
      <c r="O24" s="69">
        <v>151870</v>
      </c>
      <c r="P24" s="69">
        <v>107750</v>
      </c>
      <c r="Q24" s="69">
        <v>21160</v>
      </c>
      <c r="R24" s="69">
        <v>26840</v>
      </c>
      <c r="S24" s="69">
        <v>13950</v>
      </c>
      <c r="T24" s="69">
        <v>0</v>
      </c>
      <c r="U24" s="69">
        <v>72210</v>
      </c>
      <c r="V24" s="69">
        <v>7220</v>
      </c>
      <c r="W24" s="69">
        <f t="shared" si="1"/>
        <v>401000</v>
      </c>
      <c r="X24" s="72">
        <f t="shared" si="2"/>
        <v>2582333</v>
      </c>
    </row>
    <row r="25" spans="2:24" ht="23.1" customHeight="1" x14ac:dyDescent="0.3">
      <c r="B25" s="73">
        <v>45212</v>
      </c>
      <c r="C25" s="74" t="s">
        <v>133</v>
      </c>
      <c r="D25" s="74" t="s">
        <v>41</v>
      </c>
      <c r="E25" s="74" t="s">
        <v>87</v>
      </c>
      <c r="F25" s="69">
        <v>2683333</v>
      </c>
      <c r="G25" s="69">
        <v>0</v>
      </c>
      <c r="H25" s="69">
        <v>0</v>
      </c>
      <c r="I25" s="69">
        <v>0</v>
      </c>
      <c r="J25" s="69">
        <v>0</v>
      </c>
      <c r="K25" s="69">
        <v>0</v>
      </c>
      <c r="L25" s="69">
        <v>0</v>
      </c>
      <c r="M25" s="69">
        <v>0</v>
      </c>
      <c r="N25" s="75">
        <f t="shared" si="0"/>
        <v>2683333</v>
      </c>
      <c r="O25" s="69">
        <v>128740</v>
      </c>
      <c r="P25" s="69">
        <v>92020</v>
      </c>
      <c r="Q25" s="69">
        <v>21060</v>
      </c>
      <c r="R25" s="69">
        <v>24140</v>
      </c>
      <c r="S25" s="69">
        <v>11910</v>
      </c>
      <c r="T25" s="69">
        <v>0</v>
      </c>
      <c r="U25" s="69">
        <v>46540</v>
      </c>
      <c r="V25" s="69">
        <v>4650</v>
      </c>
      <c r="W25" s="69">
        <f t="shared" si="1"/>
        <v>329060</v>
      </c>
      <c r="X25" s="72">
        <f t="shared" si="2"/>
        <v>2354273</v>
      </c>
    </row>
    <row r="26" spans="2:24" ht="23.1" customHeight="1" x14ac:dyDescent="0.3">
      <c r="B26" s="66">
        <v>45366</v>
      </c>
      <c r="C26" s="76" t="s">
        <v>134</v>
      </c>
      <c r="D26" s="76" t="s">
        <v>42</v>
      </c>
      <c r="E26" s="76" t="s">
        <v>86</v>
      </c>
      <c r="F26" s="61">
        <v>3666667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1">
        <v>0</v>
      </c>
      <c r="M26" s="61">
        <v>0</v>
      </c>
      <c r="N26" s="75">
        <f t="shared" si="0"/>
        <v>3666667</v>
      </c>
      <c r="O26" s="61">
        <v>150650</v>
      </c>
      <c r="P26" s="61">
        <v>103780</v>
      </c>
      <c r="Q26" s="61">
        <v>0</v>
      </c>
      <c r="R26" s="61">
        <v>33000</v>
      </c>
      <c r="S26" s="61">
        <v>13440</v>
      </c>
      <c r="T26" s="61">
        <v>0</v>
      </c>
      <c r="U26" s="61">
        <v>88040</v>
      </c>
      <c r="V26" s="61">
        <v>8800</v>
      </c>
      <c r="W26" s="69">
        <f t="shared" si="1"/>
        <v>397710</v>
      </c>
      <c r="X26" s="72">
        <f t="shared" si="2"/>
        <v>3268957</v>
      </c>
    </row>
    <row r="27" spans="2:24" ht="23.1" customHeight="1" x14ac:dyDescent="0.3">
      <c r="B27" s="73">
        <v>45366</v>
      </c>
      <c r="C27" s="74" t="s">
        <v>135</v>
      </c>
      <c r="D27" s="74" t="s">
        <v>43</v>
      </c>
      <c r="E27" s="74" t="s">
        <v>86</v>
      </c>
      <c r="F27" s="69">
        <v>3166667</v>
      </c>
      <c r="G27" s="69">
        <v>0</v>
      </c>
      <c r="H27" s="69">
        <v>0</v>
      </c>
      <c r="I27" s="69">
        <v>0</v>
      </c>
      <c r="J27" s="69">
        <v>0</v>
      </c>
      <c r="K27" s="69">
        <v>0</v>
      </c>
      <c r="L27" s="69">
        <v>0</v>
      </c>
      <c r="M27" s="69">
        <v>0</v>
      </c>
      <c r="N27" s="75">
        <f t="shared" si="0"/>
        <v>3166667</v>
      </c>
      <c r="O27" s="69">
        <v>134810</v>
      </c>
      <c r="P27" s="69">
        <v>97700</v>
      </c>
      <c r="Q27" s="69">
        <v>0</v>
      </c>
      <c r="R27" s="69">
        <v>28500</v>
      </c>
      <c r="S27" s="69">
        <v>12650</v>
      </c>
      <c r="T27" s="69">
        <v>0</v>
      </c>
      <c r="U27" s="69">
        <v>88040</v>
      </c>
      <c r="V27" s="69">
        <v>8800</v>
      </c>
      <c r="W27" s="69">
        <f t="shared" si="1"/>
        <v>370500</v>
      </c>
      <c r="X27" s="72">
        <f t="shared" si="2"/>
        <v>2796167</v>
      </c>
    </row>
    <row r="28" spans="2:24" ht="23.1" customHeight="1" x14ac:dyDescent="0.3">
      <c r="B28" s="66">
        <v>45554</v>
      </c>
      <c r="C28" s="60" t="s">
        <v>137</v>
      </c>
      <c r="D28" s="60" t="s">
        <v>44</v>
      </c>
      <c r="E28" s="60" t="s">
        <v>87</v>
      </c>
      <c r="F28" s="61">
        <v>2583333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1">
        <v>44500</v>
      </c>
      <c r="M28" s="61">
        <v>0</v>
      </c>
      <c r="N28" s="77">
        <f t="shared" si="0"/>
        <v>2627833</v>
      </c>
      <c r="O28" s="61">
        <v>105200</v>
      </c>
      <c r="P28" s="61">
        <v>73050</v>
      </c>
      <c r="Q28" s="61">
        <v>0</v>
      </c>
      <c r="R28" s="61">
        <v>23650</v>
      </c>
      <c r="S28" s="61">
        <v>9460</v>
      </c>
      <c r="T28" s="61">
        <v>0</v>
      </c>
      <c r="U28" s="61">
        <v>43110</v>
      </c>
      <c r="V28" s="61">
        <v>4310</v>
      </c>
      <c r="W28" s="61">
        <f t="shared" si="1"/>
        <v>258780</v>
      </c>
      <c r="X28" s="64">
        <f t="shared" si="2"/>
        <v>2369053</v>
      </c>
    </row>
    <row r="29" spans="2:24" ht="23.1" customHeight="1" x14ac:dyDescent="0.3">
      <c r="B29" s="66">
        <v>45593</v>
      </c>
      <c r="C29" s="60" t="s">
        <v>138</v>
      </c>
      <c r="D29" s="60" t="s">
        <v>45</v>
      </c>
      <c r="E29" s="60" t="s">
        <v>87</v>
      </c>
      <c r="F29" s="61">
        <v>2541667</v>
      </c>
      <c r="G29" s="61">
        <v>0</v>
      </c>
      <c r="H29" s="61">
        <v>0</v>
      </c>
      <c r="I29" s="61">
        <v>0</v>
      </c>
      <c r="J29" s="61">
        <v>0</v>
      </c>
      <c r="K29" s="61">
        <v>0</v>
      </c>
      <c r="L29" s="61">
        <v>36486</v>
      </c>
      <c r="M29" s="61">
        <v>0</v>
      </c>
      <c r="N29" s="77">
        <f t="shared" si="0"/>
        <v>2578153</v>
      </c>
      <c r="O29" s="61">
        <v>104940</v>
      </c>
      <c r="P29" s="61">
        <v>91190</v>
      </c>
      <c r="Q29" s="61">
        <v>0</v>
      </c>
      <c r="R29" s="61">
        <v>23200</v>
      </c>
      <c r="S29" s="61">
        <v>11800</v>
      </c>
      <c r="T29" s="61">
        <v>0</v>
      </c>
      <c r="U29" s="61">
        <v>38830</v>
      </c>
      <c r="V29" s="61">
        <v>3880</v>
      </c>
      <c r="W29" s="61">
        <f t="shared" si="1"/>
        <v>273840</v>
      </c>
      <c r="X29" s="64">
        <f t="shared" si="2"/>
        <v>2304313</v>
      </c>
    </row>
    <row r="30" spans="2:24" ht="23.1" customHeight="1" x14ac:dyDescent="0.3">
      <c r="B30" s="66">
        <v>45627</v>
      </c>
      <c r="C30" s="60" t="s">
        <v>139</v>
      </c>
      <c r="D30" s="60" t="s">
        <v>46</v>
      </c>
      <c r="E30" s="60" t="s">
        <v>86</v>
      </c>
      <c r="F30" s="61">
        <v>3083333</v>
      </c>
      <c r="G30" s="61">
        <v>0</v>
      </c>
      <c r="H30" s="61">
        <v>0</v>
      </c>
      <c r="I30" s="61">
        <v>0</v>
      </c>
      <c r="J30" s="61">
        <v>0</v>
      </c>
      <c r="K30" s="61">
        <v>0</v>
      </c>
      <c r="L30" s="61">
        <v>0</v>
      </c>
      <c r="M30" s="61">
        <v>0</v>
      </c>
      <c r="N30" s="77">
        <f t="shared" si="0"/>
        <v>3083333</v>
      </c>
      <c r="O30" s="61">
        <v>129730</v>
      </c>
      <c r="P30" s="61">
        <v>109300</v>
      </c>
      <c r="Q30" s="61">
        <v>0</v>
      </c>
      <c r="R30" s="61">
        <v>27740</v>
      </c>
      <c r="S30" s="61">
        <v>14150</v>
      </c>
      <c r="T30" s="61">
        <v>0</v>
      </c>
      <c r="U30" s="61">
        <v>81190</v>
      </c>
      <c r="V30" s="61">
        <v>8110</v>
      </c>
      <c r="W30" s="61">
        <f t="shared" si="1"/>
        <v>370220</v>
      </c>
      <c r="X30" s="64">
        <f t="shared" si="2"/>
        <v>2713113</v>
      </c>
    </row>
    <row r="31" spans="2:24" ht="23.1" customHeight="1" x14ac:dyDescent="0.3">
      <c r="B31" s="66">
        <v>45656</v>
      </c>
      <c r="C31" s="60" t="s">
        <v>140</v>
      </c>
      <c r="D31" s="60" t="s">
        <v>47</v>
      </c>
      <c r="E31" s="60" t="s">
        <v>84</v>
      </c>
      <c r="F31" s="61">
        <v>3083333</v>
      </c>
      <c r="G31" s="61">
        <v>0</v>
      </c>
      <c r="H31" s="61">
        <v>0</v>
      </c>
      <c r="I31" s="61">
        <v>0</v>
      </c>
      <c r="J31" s="61">
        <v>0</v>
      </c>
      <c r="K31" s="61">
        <v>0</v>
      </c>
      <c r="L31" s="61">
        <v>0</v>
      </c>
      <c r="M31" s="61">
        <v>0</v>
      </c>
      <c r="N31" s="77">
        <f t="shared" si="0"/>
        <v>3083333</v>
      </c>
      <c r="O31" s="61">
        <v>138730</v>
      </c>
      <c r="P31" s="61">
        <v>109300</v>
      </c>
      <c r="Q31" s="61">
        <v>0</v>
      </c>
      <c r="R31" s="61">
        <v>27740</v>
      </c>
      <c r="S31" s="61">
        <v>14150</v>
      </c>
      <c r="T31" s="61">
        <v>0</v>
      </c>
      <c r="U31" s="61">
        <v>81190</v>
      </c>
      <c r="V31" s="61">
        <v>8110</v>
      </c>
      <c r="W31" s="61">
        <f t="shared" si="1"/>
        <v>379220</v>
      </c>
      <c r="X31" s="64">
        <f t="shared" si="2"/>
        <v>2704113</v>
      </c>
    </row>
    <row r="32" spans="2:24" ht="23.1" customHeight="1" x14ac:dyDescent="0.3">
      <c r="B32" s="73">
        <v>45761</v>
      </c>
      <c r="C32" s="68" t="s">
        <v>141</v>
      </c>
      <c r="D32" s="68" t="s">
        <v>53</v>
      </c>
      <c r="E32" s="68" t="s">
        <v>86</v>
      </c>
      <c r="F32" s="69">
        <v>3000000</v>
      </c>
      <c r="G32" s="69">
        <v>0</v>
      </c>
      <c r="H32" s="69">
        <v>0</v>
      </c>
      <c r="I32" s="69">
        <v>0</v>
      </c>
      <c r="J32" s="69">
        <v>0</v>
      </c>
      <c r="K32" s="69">
        <v>0</v>
      </c>
      <c r="L32" s="69">
        <v>0</v>
      </c>
      <c r="M32" s="69">
        <v>0</v>
      </c>
      <c r="N32" s="75">
        <f t="shared" si="0"/>
        <v>3000000</v>
      </c>
      <c r="O32" s="69">
        <v>135000</v>
      </c>
      <c r="P32" s="69">
        <v>106350</v>
      </c>
      <c r="Q32" s="69">
        <v>0</v>
      </c>
      <c r="R32" s="69">
        <v>27000</v>
      </c>
      <c r="S32" s="69">
        <v>13770</v>
      </c>
      <c r="T32" s="69">
        <v>0</v>
      </c>
      <c r="U32" s="69">
        <v>74350</v>
      </c>
      <c r="V32" s="69">
        <v>7430</v>
      </c>
      <c r="W32" s="69">
        <f t="shared" si="1"/>
        <v>363900</v>
      </c>
      <c r="X32" s="72">
        <f t="shared" si="2"/>
        <v>2636100</v>
      </c>
    </row>
    <row r="33" spans="2:24" ht="23.1" customHeight="1" thickBot="1" x14ac:dyDescent="0.35">
      <c r="B33" s="78">
        <v>45839</v>
      </c>
      <c r="C33" s="102" t="s">
        <v>142</v>
      </c>
      <c r="D33" s="102" t="s">
        <v>55</v>
      </c>
      <c r="E33" s="102" t="s">
        <v>84</v>
      </c>
      <c r="F33" s="69">
        <v>3250000</v>
      </c>
      <c r="G33" s="69">
        <v>0</v>
      </c>
      <c r="H33" s="69">
        <v>0</v>
      </c>
      <c r="I33" s="69">
        <v>0</v>
      </c>
      <c r="J33" s="69">
        <v>0</v>
      </c>
      <c r="K33" s="69">
        <v>0</v>
      </c>
      <c r="L33" s="69">
        <v>0</v>
      </c>
      <c r="M33" s="69">
        <v>0</v>
      </c>
      <c r="N33" s="75">
        <f t="shared" si="0"/>
        <v>3250000</v>
      </c>
      <c r="O33" s="69">
        <v>146250</v>
      </c>
      <c r="P33" s="69">
        <v>115210</v>
      </c>
      <c r="Q33" s="69">
        <v>0</v>
      </c>
      <c r="R33" s="69">
        <v>29250</v>
      </c>
      <c r="S33" s="69">
        <v>14920</v>
      </c>
      <c r="T33" s="69">
        <v>0</v>
      </c>
      <c r="U33" s="69">
        <v>95430</v>
      </c>
      <c r="V33" s="69">
        <v>9540</v>
      </c>
      <c r="W33" s="69">
        <f>SUM(O33:V33)</f>
        <v>410600</v>
      </c>
      <c r="X33" s="72">
        <f t="shared" si="2"/>
        <v>2839400</v>
      </c>
    </row>
    <row r="34" spans="2:24" ht="22.6" customHeight="1" thickBot="1" x14ac:dyDescent="0.35">
      <c r="B34" s="82" t="s">
        <v>95</v>
      </c>
      <c r="C34" s="113" t="s">
        <v>89</v>
      </c>
      <c r="D34" s="91"/>
      <c r="E34" s="84"/>
      <c r="F34" s="85">
        <f t="shared" ref="F34:X34" si="3">SUM(F5:F33)</f>
        <v>147616600</v>
      </c>
      <c r="G34" s="86">
        <f t="shared" si="3"/>
        <v>2000000</v>
      </c>
      <c r="H34" s="86">
        <f t="shared" si="3"/>
        <v>50000</v>
      </c>
      <c r="I34" s="86">
        <f t="shared" si="3"/>
        <v>0</v>
      </c>
      <c r="J34" s="86">
        <f t="shared" si="3"/>
        <v>0</v>
      </c>
      <c r="K34" s="86">
        <f t="shared" si="3"/>
        <v>0</v>
      </c>
      <c r="L34" s="86">
        <f t="shared" si="3"/>
        <v>130270</v>
      </c>
      <c r="M34" s="86">
        <f t="shared" si="3"/>
        <v>7058673</v>
      </c>
      <c r="N34" s="87">
        <f t="shared" si="3"/>
        <v>156855543</v>
      </c>
      <c r="O34" s="88">
        <f t="shared" si="3"/>
        <v>5369460</v>
      </c>
      <c r="P34" s="88">
        <f t="shared" si="3"/>
        <v>5396150</v>
      </c>
      <c r="Q34" s="88">
        <f t="shared" si="3"/>
        <v>123440</v>
      </c>
      <c r="R34" s="88">
        <f t="shared" si="3"/>
        <v>1117420</v>
      </c>
      <c r="S34" s="88">
        <f t="shared" si="3"/>
        <v>698720</v>
      </c>
      <c r="T34" s="88">
        <f t="shared" si="3"/>
        <v>0</v>
      </c>
      <c r="U34" s="88">
        <f t="shared" si="3"/>
        <v>18681330</v>
      </c>
      <c r="V34" s="88">
        <f t="shared" si="3"/>
        <v>1868030</v>
      </c>
      <c r="W34" s="88">
        <f t="shared" si="3"/>
        <v>33254550</v>
      </c>
      <c r="X34" s="89">
        <f t="shared" si="3"/>
        <v>123600993</v>
      </c>
    </row>
    <row r="35" spans="2:24" x14ac:dyDescent="0.3">
      <c r="B35" s="43"/>
      <c r="C35" s="43"/>
      <c r="D35" s="43"/>
      <c r="E35" s="43"/>
      <c r="F35" s="90"/>
      <c r="G35" s="90"/>
      <c r="H35" s="90"/>
      <c r="I35" s="90"/>
      <c r="J35" s="90"/>
      <c r="K35" s="90"/>
      <c r="L35" s="90"/>
      <c r="M35" s="90"/>
      <c r="N35" s="58"/>
      <c r="O35" s="90"/>
      <c r="P35" s="90"/>
      <c r="Q35" s="90"/>
      <c r="R35" s="90"/>
      <c r="S35" s="90"/>
      <c r="T35" s="90"/>
      <c r="U35" s="90"/>
      <c r="V35" s="90"/>
      <c r="W35" s="90"/>
      <c r="X35" s="90"/>
    </row>
    <row r="36" spans="2:24" x14ac:dyDescent="0.3"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123"/>
      <c r="O36" s="90"/>
      <c r="P36" s="90"/>
      <c r="Q36" s="90"/>
      <c r="R36" s="90"/>
      <c r="S36" s="90"/>
      <c r="T36" s="90"/>
      <c r="U36" s="90"/>
      <c r="V36" s="90"/>
      <c r="W36" s="90"/>
      <c r="X36" s="90"/>
    </row>
    <row r="37" spans="2:24" x14ac:dyDescent="0.3"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65"/>
      <c r="O37" s="90"/>
      <c r="P37" s="90"/>
      <c r="Q37" s="90"/>
      <c r="R37" s="90"/>
      <c r="S37" s="90"/>
      <c r="T37" s="90"/>
      <c r="U37" s="90"/>
      <c r="V37" s="90"/>
      <c r="W37" s="90"/>
      <c r="X37" s="90"/>
    </row>
    <row r="38" spans="2:24" x14ac:dyDescent="0.3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90"/>
      <c r="P38" s="90"/>
      <c r="Q38" s="90"/>
      <c r="R38" s="90"/>
      <c r="S38" s="90"/>
      <c r="T38" s="90"/>
      <c r="U38" s="90"/>
      <c r="V38" s="90"/>
      <c r="W38" s="90"/>
      <c r="X38" s="90"/>
    </row>
  </sheetData>
  <autoFilter ref="B4:X35" xr:uid="{B82B50B2-37E1-4021-A2E5-6EBA34B9AD5B}"/>
  <phoneticPr fontId="2" type="noConversion"/>
  <pageMargins left="0.36" right="0.11811023622047245" top="0.74803149606299213" bottom="0.74803149606299213" header="0.31496062992125984" footer="0.31496062992125984"/>
  <pageSetup paperSize="9" scale="5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F8C3E-28BA-49F8-9D95-EE6253522FC1}">
  <dimension ref="B1:X38"/>
  <sheetViews>
    <sheetView showGridLines="0" zoomScale="80" zoomScaleNormal="80" workbookViewId="0"/>
  </sheetViews>
  <sheetFormatPr defaultColWidth="9.08984375" defaultRowHeight="13.45" x14ac:dyDescent="0.3"/>
  <cols>
    <col min="1" max="1" width="2" style="42" customWidth="1"/>
    <col min="2" max="2" width="13.54296875" style="42" bestFit="1" customWidth="1"/>
    <col min="3" max="4" width="19" style="42" bestFit="1" customWidth="1"/>
    <col min="5" max="5" width="14.6328125" style="42" bestFit="1" customWidth="1"/>
    <col min="6" max="7" width="13.6328125" style="42" customWidth="1"/>
    <col min="8" max="8" width="23" style="42" customWidth="1"/>
    <col min="9" max="9" width="15.1796875" style="42" bestFit="1" customWidth="1"/>
    <col min="10" max="10" width="17.36328125" style="42" bestFit="1" customWidth="1"/>
    <col min="11" max="11" width="15.1796875" style="42" bestFit="1" customWidth="1"/>
    <col min="12" max="12" width="14.81640625" style="42" customWidth="1"/>
    <col min="13" max="13" width="15.1796875" style="42" bestFit="1" customWidth="1"/>
    <col min="14" max="14" width="12.6328125" style="42" customWidth="1"/>
    <col min="15" max="15" width="11.54296875" style="42" customWidth="1"/>
    <col min="16" max="16" width="11.453125" style="42" customWidth="1"/>
    <col min="17" max="17" width="19.1796875" style="42" customWidth="1"/>
    <col min="18" max="18" width="11.08984375" style="42" customWidth="1"/>
    <col min="19" max="19" width="15.453125" style="42" customWidth="1"/>
    <col min="20" max="20" width="15.1796875" style="42" bestFit="1" customWidth="1"/>
    <col min="21" max="21" width="12.1796875" style="42" customWidth="1"/>
    <col min="22" max="22" width="12.453125" style="42" customWidth="1"/>
    <col min="23" max="23" width="18.453125" style="42" customWidth="1"/>
    <col min="24" max="24" width="20" style="42" customWidth="1"/>
    <col min="25" max="25" width="9.08984375" style="42"/>
    <col min="26" max="26" width="12.6328125" style="42" bestFit="1" customWidth="1"/>
    <col min="27" max="16384" width="9.08984375" style="42"/>
  </cols>
  <sheetData>
    <row r="1" spans="2:24" ht="9.8000000000000007" customHeight="1" x14ac:dyDescent="0.3"/>
    <row r="2" spans="2:24" s="135" customFormat="1" ht="26.35" customHeight="1" x14ac:dyDescent="0.4">
      <c r="B2" s="133" t="s">
        <v>104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</row>
    <row r="3" spans="2:24" ht="20.3" customHeight="1" thickBot="1" x14ac:dyDescent="0.35"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4" t="s">
        <v>83</v>
      </c>
    </row>
    <row r="4" spans="2:24" s="51" customFormat="1" ht="54.3" thickBot="1" x14ac:dyDescent="0.35">
      <c r="B4" s="45" t="s">
        <v>59</v>
      </c>
      <c r="C4" s="46" t="s">
        <v>60</v>
      </c>
      <c r="D4" s="124" t="s">
        <v>61</v>
      </c>
      <c r="E4" s="47" t="s">
        <v>62</v>
      </c>
      <c r="F4" s="48" t="s">
        <v>63</v>
      </c>
      <c r="G4" s="49" t="s">
        <v>64</v>
      </c>
      <c r="H4" s="108" t="s">
        <v>65</v>
      </c>
      <c r="I4" s="49" t="s">
        <v>66</v>
      </c>
      <c r="J4" s="108" t="s">
        <v>67</v>
      </c>
      <c r="K4" s="49" t="s">
        <v>68</v>
      </c>
      <c r="L4" s="108" t="s">
        <v>69</v>
      </c>
      <c r="M4" s="46" t="s">
        <v>70</v>
      </c>
      <c r="N4" s="47" t="s">
        <v>71</v>
      </c>
      <c r="O4" s="109" t="s">
        <v>72</v>
      </c>
      <c r="P4" s="110" t="s">
        <v>73</v>
      </c>
      <c r="Q4" s="110" t="s">
        <v>74</v>
      </c>
      <c r="R4" s="110" t="s">
        <v>75</v>
      </c>
      <c r="S4" s="110" t="s">
        <v>76</v>
      </c>
      <c r="T4" s="50" t="s">
        <v>77</v>
      </c>
      <c r="U4" s="110" t="s">
        <v>79</v>
      </c>
      <c r="V4" s="110" t="s">
        <v>80</v>
      </c>
      <c r="W4" s="49" t="s">
        <v>81</v>
      </c>
      <c r="X4" s="47" t="s">
        <v>82</v>
      </c>
    </row>
    <row r="5" spans="2:24" ht="23.1" customHeight="1" x14ac:dyDescent="0.3">
      <c r="B5" s="52" t="s">
        <v>1</v>
      </c>
      <c r="C5" s="53" t="s">
        <v>0</v>
      </c>
      <c r="D5" s="53" t="str">
        <f>C5</f>
        <v>Shin Jonghoon Bryan</v>
      </c>
      <c r="E5" s="53" t="s">
        <v>85</v>
      </c>
      <c r="F5" s="96">
        <v>30685417</v>
      </c>
      <c r="G5" s="96">
        <v>2000000</v>
      </c>
      <c r="H5" s="96">
        <v>0</v>
      </c>
      <c r="I5" s="96">
        <v>0</v>
      </c>
      <c r="J5" s="96">
        <v>0</v>
      </c>
      <c r="K5" s="96">
        <v>0</v>
      </c>
      <c r="L5" s="96">
        <v>0</v>
      </c>
      <c r="M5" s="96">
        <v>0</v>
      </c>
      <c r="N5" s="97">
        <f t="shared" ref="N5:N33" si="0">SUM(F5:M5)</f>
        <v>32685417</v>
      </c>
      <c r="O5" s="96">
        <v>286650</v>
      </c>
      <c r="P5" s="96">
        <v>1160390</v>
      </c>
      <c r="Q5" s="96">
        <v>0</v>
      </c>
      <c r="R5" s="96">
        <v>0</v>
      </c>
      <c r="S5" s="96">
        <v>150270</v>
      </c>
      <c r="T5" s="96">
        <v>0</v>
      </c>
      <c r="U5" s="96">
        <v>9669600</v>
      </c>
      <c r="V5" s="96">
        <v>966960</v>
      </c>
      <c r="W5" s="98">
        <f t="shared" ref="W5:W32" si="1">SUM(O5:V5)</f>
        <v>12233870</v>
      </c>
      <c r="X5" s="99">
        <f t="shared" ref="X5:X33" si="2">N5-W5</f>
        <v>20451547</v>
      </c>
    </row>
    <row r="6" spans="2:24" ht="23.1" customHeight="1" x14ac:dyDescent="0.3">
      <c r="B6" s="100">
        <v>45809</v>
      </c>
      <c r="C6" s="101" t="s">
        <v>136</v>
      </c>
      <c r="D6" s="101" t="s">
        <v>29</v>
      </c>
      <c r="E6" s="101" t="s">
        <v>85</v>
      </c>
      <c r="F6" s="61">
        <v>12500000</v>
      </c>
      <c r="G6" s="61">
        <v>0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6058673</v>
      </c>
      <c r="N6" s="62">
        <f t="shared" si="0"/>
        <v>18558673</v>
      </c>
      <c r="O6" s="61">
        <v>188100</v>
      </c>
      <c r="P6" s="61">
        <v>443120</v>
      </c>
      <c r="Q6" s="61">
        <v>793440</v>
      </c>
      <c r="R6" s="61">
        <v>167020</v>
      </c>
      <c r="S6" s="61">
        <v>57380</v>
      </c>
      <c r="T6" s="61">
        <v>0</v>
      </c>
      <c r="U6" s="61">
        <v>4602040</v>
      </c>
      <c r="V6" s="61">
        <v>460200</v>
      </c>
      <c r="W6" s="63">
        <f>SUM(O6:V6)</f>
        <v>6711300</v>
      </c>
      <c r="X6" s="64">
        <f>N6-W6</f>
        <v>11847373</v>
      </c>
    </row>
    <row r="7" spans="2:24" ht="23.1" customHeight="1" x14ac:dyDescent="0.3">
      <c r="B7" s="59" t="s">
        <v>15</v>
      </c>
      <c r="C7" s="60" t="s">
        <v>114</v>
      </c>
      <c r="D7" s="60" t="s">
        <v>22</v>
      </c>
      <c r="E7" s="60" t="s">
        <v>86</v>
      </c>
      <c r="F7" s="61">
        <v>0</v>
      </c>
      <c r="G7" s="61">
        <v>0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2">
        <f t="shared" si="0"/>
        <v>0</v>
      </c>
      <c r="O7" s="61">
        <v>0</v>
      </c>
      <c r="P7" s="61">
        <v>0</v>
      </c>
      <c r="Q7" s="61">
        <v>0</v>
      </c>
      <c r="R7" s="61">
        <v>0</v>
      </c>
      <c r="S7" s="61">
        <v>0</v>
      </c>
      <c r="T7" s="61">
        <v>0</v>
      </c>
      <c r="U7" s="61">
        <v>0</v>
      </c>
      <c r="V7" s="61">
        <v>0</v>
      </c>
      <c r="W7" s="63">
        <f t="shared" si="1"/>
        <v>0</v>
      </c>
      <c r="X7" s="64">
        <f t="shared" si="2"/>
        <v>0</v>
      </c>
    </row>
    <row r="8" spans="2:24" ht="23.1" customHeight="1" x14ac:dyDescent="0.3">
      <c r="B8" s="59" t="s">
        <v>2</v>
      </c>
      <c r="C8" s="60" t="s">
        <v>115</v>
      </c>
      <c r="D8" s="60" t="s">
        <v>23</v>
      </c>
      <c r="E8" s="60" t="s">
        <v>86</v>
      </c>
      <c r="F8" s="61">
        <v>6666667</v>
      </c>
      <c r="G8" s="61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2">
        <f t="shared" si="0"/>
        <v>6666667</v>
      </c>
      <c r="O8" s="61">
        <v>286650</v>
      </c>
      <c r="P8" s="61">
        <v>241550</v>
      </c>
      <c r="Q8" s="61">
        <v>50230</v>
      </c>
      <c r="R8" s="61">
        <v>60000</v>
      </c>
      <c r="S8" s="61">
        <v>31280</v>
      </c>
      <c r="T8" s="61">
        <v>0</v>
      </c>
      <c r="U8" s="61">
        <v>445340</v>
      </c>
      <c r="V8" s="61">
        <v>44530</v>
      </c>
      <c r="W8" s="63">
        <f t="shared" si="1"/>
        <v>1159580</v>
      </c>
      <c r="X8" s="64">
        <f t="shared" si="2"/>
        <v>5507087</v>
      </c>
    </row>
    <row r="9" spans="2:24" ht="23.1" customHeight="1" x14ac:dyDescent="0.3">
      <c r="B9" s="59" t="s">
        <v>3</v>
      </c>
      <c r="C9" s="60" t="s">
        <v>116</v>
      </c>
      <c r="D9" s="60" t="s">
        <v>24</v>
      </c>
      <c r="E9" s="60" t="s">
        <v>84</v>
      </c>
      <c r="F9" s="61">
        <v>3158333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2">
        <f t="shared" si="0"/>
        <v>3158333</v>
      </c>
      <c r="O9" s="61">
        <v>139900</v>
      </c>
      <c r="P9" s="61">
        <v>112060</v>
      </c>
      <c r="Q9" s="61">
        <v>0</v>
      </c>
      <c r="R9" s="61">
        <v>28420</v>
      </c>
      <c r="S9" s="61">
        <v>14510</v>
      </c>
      <c r="T9" s="61">
        <v>0</v>
      </c>
      <c r="U9" s="61">
        <v>86330</v>
      </c>
      <c r="V9" s="61">
        <v>8630</v>
      </c>
      <c r="W9" s="63">
        <f t="shared" si="1"/>
        <v>389850</v>
      </c>
      <c r="X9" s="64">
        <f t="shared" si="2"/>
        <v>2768483</v>
      </c>
    </row>
    <row r="10" spans="2:24" ht="23.1" customHeight="1" x14ac:dyDescent="0.3">
      <c r="B10" s="59" t="s">
        <v>4</v>
      </c>
      <c r="C10" s="60" t="s">
        <v>117</v>
      </c>
      <c r="D10" s="60" t="s">
        <v>25</v>
      </c>
      <c r="E10" s="60" t="s">
        <v>84</v>
      </c>
      <c r="F10" s="61">
        <v>0</v>
      </c>
      <c r="G10" s="61">
        <v>0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2">
        <f t="shared" si="0"/>
        <v>0</v>
      </c>
      <c r="O10" s="61">
        <v>-265140</v>
      </c>
      <c r="P10" s="61">
        <v>0</v>
      </c>
      <c r="Q10" s="61">
        <v>0</v>
      </c>
      <c r="R10" s="61">
        <v>0</v>
      </c>
      <c r="S10" s="61">
        <v>0</v>
      </c>
      <c r="T10" s="61">
        <v>0</v>
      </c>
      <c r="U10" s="61">
        <v>0</v>
      </c>
      <c r="V10" s="61">
        <v>0</v>
      </c>
      <c r="W10" s="63">
        <f t="shared" si="1"/>
        <v>-265140</v>
      </c>
      <c r="X10" s="64">
        <f t="shared" si="2"/>
        <v>265140</v>
      </c>
    </row>
    <row r="11" spans="2:24" ht="23.1" customHeight="1" x14ac:dyDescent="0.3">
      <c r="B11" s="59" t="s">
        <v>5</v>
      </c>
      <c r="C11" s="60" t="s">
        <v>118</v>
      </c>
      <c r="D11" s="60" t="s">
        <v>26</v>
      </c>
      <c r="E11" s="60" t="s">
        <v>86</v>
      </c>
      <c r="F11" s="61">
        <v>3750000</v>
      </c>
      <c r="G11" s="61">
        <v>0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2">
        <f t="shared" si="0"/>
        <v>3750000</v>
      </c>
      <c r="O11" s="61">
        <v>159340</v>
      </c>
      <c r="P11" s="61">
        <v>120230</v>
      </c>
      <c r="Q11" s="61">
        <v>0</v>
      </c>
      <c r="R11" s="61">
        <v>33750</v>
      </c>
      <c r="S11" s="61">
        <v>15570</v>
      </c>
      <c r="T11" s="61">
        <v>0</v>
      </c>
      <c r="U11" s="61">
        <v>156560</v>
      </c>
      <c r="V11" s="61">
        <v>15650</v>
      </c>
      <c r="W11" s="63">
        <f t="shared" si="1"/>
        <v>501100</v>
      </c>
      <c r="X11" s="64">
        <f t="shared" si="2"/>
        <v>3248900</v>
      </c>
    </row>
    <row r="12" spans="2:24" ht="23.1" customHeight="1" x14ac:dyDescent="0.3">
      <c r="B12" s="59" t="s">
        <v>6</v>
      </c>
      <c r="C12" s="60" t="s">
        <v>119</v>
      </c>
      <c r="D12" s="60" t="s">
        <v>27</v>
      </c>
      <c r="E12" s="60" t="s">
        <v>86</v>
      </c>
      <c r="F12" s="61">
        <v>1263889</v>
      </c>
      <c r="G12" s="61">
        <v>0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2">
        <f t="shared" si="0"/>
        <v>1263889</v>
      </c>
      <c r="O12" s="61">
        <v>240700</v>
      </c>
      <c r="P12" s="61">
        <v>192800</v>
      </c>
      <c r="Q12" s="61">
        <v>0</v>
      </c>
      <c r="R12" s="61">
        <v>11370</v>
      </c>
      <c r="S12" s="61">
        <v>24960</v>
      </c>
      <c r="T12" s="61">
        <v>0</v>
      </c>
      <c r="U12" s="61">
        <v>0</v>
      </c>
      <c r="V12" s="61">
        <v>0</v>
      </c>
      <c r="W12" s="63">
        <f t="shared" si="1"/>
        <v>469830</v>
      </c>
      <c r="X12" s="64">
        <f t="shared" si="2"/>
        <v>794059</v>
      </c>
    </row>
    <row r="13" spans="2:24" ht="23.1" customHeight="1" x14ac:dyDescent="0.3">
      <c r="B13" s="59" t="s">
        <v>7</v>
      </c>
      <c r="C13" s="60" t="s">
        <v>120</v>
      </c>
      <c r="D13" s="60" t="s">
        <v>28</v>
      </c>
      <c r="E13" s="60" t="s">
        <v>84</v>
      </c>
      <c r="F13" s="61">
        <v>4500000</v>
      </c>
      <c r="G13" s="61">
        <v>0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2">
        <f t="shared" si="0"/>
        <v>4500000</v>
      </c>
      <c r="O13" s="61">
        <v>170100</v>
      </c>
      <c r="P13" s="61">
        <v>136260</v>
      </c>
      <c r="Q13" s="61">
        <v>0</v>
      </c>
      <c r="R13" s="61">
        <v>40500</v>
      </c>
      <c r="S13" s="61">
        <v>17640</v>
      </c>
      <c r="T13" s="61">
        <v>0</v>
      </c>
      <c r="U13" s="61">
        <v>262840</v>
      </c>
      <c r="V13" s="61">
        <v>26280</v>
      </c>
      <c r="W13" s="63">
        <f t="shared" si="1"/>
        <v>653620</v>
      </c>
      <c r="X13" s="64">
        <f t="shared" si="2"/>
        <v>3846380</v>
      </c>
    </row>
    <row r="14" spans="2:24" ht="23.1" customHeight="1" x14ac:dyDescent="0.3">
      <c r="B14" s="59" t="s">
        <v>9</v>
      </c>
      <c r="C14" s="60" t="s">
        <v>122</v>
      </c>
      <c r="D14" s="60" t="s">
        <v>30</v>
      </c>
      <c r="E14" s="60" t="s">
        <v>87</v>
      </c>
      <c r="F14" s="61">
        <v>4025000</v>
      </c>
      <c r="G14" s="61">
        <v>0</v>
      </c>
      <c r="H14" s="61">
        <v>0</v>
      </c>
      <c r="I14" s="61">
        <v>0</v>
      </c>
      <c r="J14" s="61">
        <v>0</v>
      </c>
      <c r="K14" s="61">
        <v>0</v>
      </c>
      <c r="L14" s="61">
        <v>0</v>
      </c>
      <c r="M14" s="61">
        <v>0</v>
      </c>
      <c r="N14" s="62">
        <f t="shared" si="0"/>
        <v>4025000</v>
      </c>
      <c r="O14" s="61">
        <v>189630</v>
      </c>
      <c r="P14" s="61">
        <v>151880</v>
      </c>
      <c r="Q14" s="61">
        <v>0</v>
      </c>
      <c r="R14" s="61">
        <v>36220</v>
      </c>
      <c r="S14" s="61">
        <v>19660</v>
      </c>
      <c r="T14" s="61">
        <v>0</v>
      </c>
      <c r="U14" s="61">
        <v>198630</v>
      </c>
      <c r="V14" s="61">
        <v>19860</v>
      </c>
      <c r="W14" s="63">
        <f t="shared" si="1"/>
        <v>615880</v>
      </c>
      <c r="X14" s="64">
        <f t="shared" si="2"/>
        <v>3409120</v>
      </c>
    </row>
    <row r="15" spans="2:24" ht="23.1" customHeight="1" x14ac:dyDescent="0.3">
      <c r="B15" s="59" t="s">
        <v>10</v>
      </c>
      <c r="C15" s="60" t="s">
        <v>123</v>
      </c>
      <c r="D15" s="60" t="s">
        <v>31</v>
      </c>
      <c r="E15" s="60" t="s">
        <v>86</v>
      </c>
      <c r="F15" s="61">
        <v>10333333</v>
      </c>
      <c r="G15" s="61">
        <v>0</v>
      </c>
      <c r="H15" s="61">
        <v>0</v>
      </c>
      <c r="I15" s="61">
        <v>0</v>
      </c>
      <c r="J15" s="61">
        <v>0</v>
      </c>
      <c r="K15" s="61">
        <v>0</v>
      </c>
      <c r="L15" s="61">
        <v>0</v>
      </c>
      <c r="M15" s="61">
        <v>0</v>
      </c>
      <c r="N15" s="62">
        <f t="shared" si="0"/>
        <v>10333333</v>
      </c>
      <c r="O15" s="61">
        <v>286650</v>
      </c>
      <c r="P15" s="61">
        <v>390540</v>
      </c>
      <c r="Q15" s="61">
        <v>0</v>
      </c>
      <c r="R15" s="61">
        <v>92990</v>
      </c>
      <c r="S15" s="61">
        <v>50570</v>
      </c>
      <c r="T15" s="61">
        <v>0</v>
      </c>
      <c r="U15" s="61">
        <v>1646730</v>
      </c>
      <c r="V15" s="61">
        <v>164670</v>
      </c>
      <c r="W15" s="63">
        <f t="shared" si="1"/>
        <v>2632150</v>
      </c>
      <c r="X15" s="64">
        <f t="shared" si="2"/>
        <v>7701183</v>
      </c>
    </row>
    <row r="16" spans="2:24" ht="23.1" customHeight="1" x14ac:dyDescent="0.3">
      <c r="B16" s="66">
        <v>41699</v>
      </c>
      <c r="C16" s="60" t="s">
        <v>124</v>
      </c>
      <c r="D16" s="60" t="s">
        <v>32</v>
      </c>
      <c r="E16" s="60" t="s">
        <v>86</v>
      </c>
      <c r="F16" s="61">
        <v>6083333</v>
      </c>
      <c r="G16" s="61">
        <v>0</v>
      </c>
      <c r="H16" s="61">
        <v>0</v>
      </c>
      <c r="I16" s="61">
        <v>0</v>
      </c>
      <c r="J16" s="61">
        <v>0</v>
      </c>
      <c r="K16" s="61">
        <v>0</v>
      </c>
      <c r="L16" s="61">
        <v>0</v>
      </c>
      <c r="M16" s="61">
        <v>0</v>
      </c>
      <c r="N16" s="62">
        <f t="shared" si="0"/>
        <v>6083333</v>
      </c>
      <c r="O16" s="61">
        <v>277290</v>
      </c>
      <c r="P16" s="61">
        <v>222110</v>
      </c>
      <c r="Q16" s="61">
        <v>0</v>
      </c>
      <c r="R16" s="61">
        <v>54740</v>
      </c>
      <c r="S16" s="61">
        <v>28760</v>
      </c>
      <c r="T16" s="61">
        <v>0</v>
      </c>
      <c r="U16" s="61">
        <v>477340</v>
      </c>
      <c r="V16" s="61">
        <v>47730</v>
      </c>
      <c r="W16" s="63">
        <f t="shared" si="1"/>
        <v>1107970</v>
      </c>
      <c r="X16" s="64">
        <f t="shared" si="2"/>
        <v>4975363</v>
      </c>
    </row>
    <row r="17" spans="2:24" ht="23.1" customHeight="1" x14ac:dyDescent="0.3">
      <c r="B17" s="59" t="s">
        <v>11</v>
      </c>
      <c r="C17" s="60" t="s">
        <v>125</v>
      </c>
      <c r="D17" s="60" t="s">
        <v>33</v>
      </c>
      <c r="E17" s="60" t="s">
        <v>87</v>
      </c>
      <c r="F17" s="61">
        <v>3766667</v>
      </c>
      <c r="G17" s="61">
        <v>0</v>
      </c>
      <c r="H17" s="61">
        <v>0</v>
      </c>
      <c r="I17" s="61">
        <v>0</v>
      </c>
      <c r="J17" s="61">
        <v>0</v>
      </c>
      <c r="K17" s="61">
        <v>0</v>
      </c>
      <c r="L17" s="61">
        <v>0</v>
      </c>
      <c r="M17" s="61">
        <v>0</v>
      </c>
      <c r="N17" s="62">
        <f t="shared" si="0"/>
        <v>3766667</v>
      </c>
      <c r="O17" s="61">
        <v>178330</v>
      </c>
      <c r="P17" s="61">
        <v>142860</v>
      </c>
      <c r="Q17" s="61">
        <v>0</v>
      </c>
      <c r="R17" s="61">
        <v>33900</v>
      </c>
      <c r="S17" s="61">
        <v>18500</v>
      </c>
      <c r="T17" s="61">
        <v>0</v>
      </c>
      <c r="U17" s="61">
        <v>163920</v>
      </c>
      <c r="V17" s="61">
        <v>16390</v>
      </c>
      <c r="W17" s="63">
        <f t="shared" si="1"/>
        <v>553900</v>
      </c>
      <c r="X17" s="64">
        <f t="shared" si="2"/>
        <v>3212767</v>
      </c>
    </row>
    <row r="18" spans="2:24" ht="23.1" customHeight="1" x14ac:dyDescent="0.3">
      <c r="B18" s="59" t="s">
        <v>12</v>
      </c>
      <c r="C18" s="60" t="s">
        <v>126</v>
      </c>
      <c r="D18" s="60" t="s">
        <v>34</v>
      </c>
      <c r="E18" s="60" t="s">
        <v>87</v>
      </c>
      <c r="F18" s="61">
        <v>4800000</v>
      </c>
      <c r="G18" s="61">
        <v>0</v>
      </c>
      <c r="H18" s="61">
        <v>50000</v>
      </c>
      <c r="I18" s="61">
        <v>0</v>
      </c>
      <c r="J18" s="61">
        <v>0</v>
      </c>
      <c r="K18" s="61">
        <v>0</v>
      </c>
      <c r="L18" s="61">
        <v>0</v>
      </c>
      <c r="M18" s="61">
        <v>0</v>
      </c>
      <c r="N18" s="62">
        <f t="shared" si="0"/>
        <v>4850000</v>
      </c>
      <c r="O18" s="61">
        <v>223830</v>
      </c>
      <c r="P18" s="61">
        <v>179300</v>
      </c>
      <c r="Q18" s="61">
        <v>0</v>
      </c>
      <c r="R18" s="61">
        <v>43650</v>
      </c>
      <c r="S18" s="61">
        <v>23220</v>
      </c>
      <c r="T18" s="61">
        <v>0</v>
      </c>
      <c r="U18" s="61">
        <v>313030</v>
      </c>
      <c r="V18" s="61">
        <v>31300</v>
      </c>
      <c r="W18" s="63">
        <f t="shared" si="1"/>
        <v>814330</v>
      </c>
      <c r="X18" s="64">
        <f t="shared" si="2"/>
        <v>4035670</v>
      </c>
    </row>
    <row r="19" spans="2:24" ht="23.1" customHeight="1" x14ac:dyDescent="0.3">
      <c r="B19" s="59" t="s">
        <v>13</v>
      </c>
      <c r="C19" s="60" t="s">
        <v>127</v>
      </c>
      <c r="D19" s="60" t="s">
        <v>35</v>
      </c>
      <c r="E19" s="60" t="s">
        <v>87</v>
      </c>
      <c r="F19" s="61">
        <v>3433333</v>
      </c>
      <c r="G19" s="61">
        <v>0</v>
      </c>
      <c r="H19" s="61">
        <v>0</v>
      </c>
      <c r="I19" s="61">
        <v>0</v>
      </c>
      <c r="J19" s="61">
        <v>0</v>
      </c>
      <c r="K19" s="61">
        <v>0</v>
      </c>
      <c r="L19" s="61">
        <v>0</v>
      </c>
      <c r="M19" s="61">
        <v>0</v>
      </c>
      <c r="N19" s="62">
        <f t="shared" si="0"/>
        <v>3433333</v>
      </c>
      <c r="O19" s="61">
        <v>154480</v>
      </c>
      <c r="P19" s="61">
        <v>121710</v>
      </c>
      <c r="Q19" s="61">
        <v>0</v>
      </c>
      <c r="R19" s="61">
        <v>30890</v>
      </c>
      <c r="S19" s="61">
        <v>15760</v>
      </c>
      <c r="T19" s="61">
        <v>0</v>
      </c>
      <c r="U19" s="61">
        <v>124770</v>
      </c>
      <c r="V19" s="61">
        <v>12470</v>
      </c>
      <c r="W19" s="63">
        <f t="shared" si="1"/>
        <v>460080</v>
      </c>
      <c r="X19" s="64">
        <f t="shared" si="2"/>
        <v>2973253</v>
      </c>
    </row>
    <row r="20" spans="2:24" ht="23.1" customHeight="1" x14ac:dyDescent="0.3">
      <c r="B20" s="59" t="s">
        <v>14</v>
      </c>
      <c r="C20" s="60" t="s">
        <v>128</v>
      </c>
      <c r="D20" s="60" t="s">
        <v>36</v>
      </c>
      <c r="E20" s="60" t="s">
        <v>87</v>
      </c>
      <c r="F20" s="61">
        <v>3441667</v>
      </c>
      <c r="G20" s="61">
        <v>0</v>
      </c>
      <c r="H20" s="61">
        <v>0</v>
      </c>
      <c r="I20" s="61">
        <v>0</v>
      </c>
      <c r="J20" s="61">
        <v>0</v>
      </c>
      <c r="K20" s="61">
        <v>0</v>
      </c>
      <c r="L20" s="61">
        <v>0</v>
      </c>
      <c r="M20" s="61">
        <v>0</v>
      </c>
      <c r="N20" s="62">
        <f t="shared" si="0"/>
        <v>3441667</v>
      </c>
      <c r="O20" s="61">
        <v>158440</v>
      </c>
      <c r="P20" s="61">
        <v>126910</v>
      </c>
      <c r="Q20" s="61">
        <v>0</v>
      </c>
      <c r="R20" s="61">
        <v>30970</v>
      </c>
      <c r="S20" s="61">
        <v>16430</v>
      </c>
      <c r="T20" s="61">
        <v>0</v>
      </c>
      <c r="U20" s="61">
        <v>254700</v>
      </c>
      <c r="V20" s="61">
        <v>25470</v>
      </c>
      <c r="W20" s="63">
        <f t="shared" si="1"/>
        <v>612920</v>
      </c>
      <c r="X20" s="64">
        <f t="shared" si="2"/>
        <v>2828747</v>
      </c>
    </row>
    <row r="21" spans="2:24" ht="23.1" customHeight="1" x14ac:dyDescent="0.3">
      <c r="B21" s="67" t="s">
        <v>16</v>
      </c>
      <c r="C21" s="68" t="s">
        <v>129</v>
      </c>
      <c r="D21" s="68" t="s">
        <v>37</v>
      </c>
      <c r="E21" s="68" t="s">
        <v>86</v>
      </c>
      <c r="F21" s="69">
        <v>3833333</v>
      </c>
      <c r="G21" s="69">
        <v>0</v>
      </c>
      <c r="H21" s="69">
        <v>0</v>
      </c>
      <c r="I21" s="69">
        <v>0</v>
      </c>
      <c r="J21" s="69">
        <v>0</v>
      </c>
      <c r="K21" s="69">
        <v>0</v>
      </c>
      <c r="L21" s="69">
        <v>0</v>
      </c>
      <c r="M21" s="69">
        <v>0</v>
      </c>
      <c r="N21" s="70">
        <f t="shared" si="0"/>
        <v>3833333</v>
      </c>
      <c r="O21" s="61">
        <v>164020</v>
      </c>
      <c r="P21" s="61">
        <v>131380</v>
      </c>
      <c r="Q21" s="61">
        <v>12510</v>
      </c>
      <c r="R21" s="61">
        <v>34490</v>
      </c>
      <c r="S21" s="61">
        <v>17010</v>
      </c>
      <c r="T21" s="61">
        <v>0</v>
      </c>
      <c r="U21" s="61">
        <v>134550</v>
      </c>
      <c r="V21" s="61">
        <v>13450</v>
      </c>
      <c r="W21" s="71">
        <f t="shared" si="1"/>
        <v>507410</v>
      </c>
      <c r="X21" s="72">
        <f t="shared" si="2"/>
        <v>3325923</v>
      </c>
    </row>
    <row r="22" spans="2:24" ht="23.1" customHeight="1" x14ac:dyDescent="0.3">
      <c r="B22" s="73">
        <v>44879</v>
      </c>
      <c r="C22" s="74" t="s">
        <v>130</v>
      </c>
      <c r="D22" s="74" t="s">
        <v>38</v>
      </c>
      <c r="E22" s="74" t="s">
        <v>86</v>
      </c>
      <c r="F22" s="69">
        <v>4791667</v>
      </c>
      <c r="G22" s="69">
        <v>0</v>
      </c>
      <c r="H22" s="69">
        <v>0</v>
      </c>
      <c r="I22" s="69">
        <v>0</v>
      </c>
      <c r="J22" s="69">
        <v>0</v>
      </c>
      <c r="K22" s="69">
        <v>0</v>
      </c>
      <c r="L22" s="69">
        <v>0</v>
      </c>
      <c r="M22" s="69">
        <v>0</v>
      </c>
      <c r="N22" s="75">
        <f t="shared" si="0"/>
        <v>4791667</v>
      </c>
      <c r="O22" s="61">
        <v>219820</v>
      </c>
      <c r="P22" s="61">
        <v>176060</v>
      </c>
      <c r="Q22" s="61">
        <v>18480</v>
      </c>
      <c r="R22" s="61">
        <v>43120</v>
      </c>
      <c r="S22" s="61">
        <v>22800</v>
      </c>
      <c r="T22" s="61">
        <v>0</v>
      </c>
      <c r="U22" s="61">
        <v>304610</v>
      </c>
      <c r="V22" s="61">
        <v>30460</v>
      </c>
      <c r="W22" s="71">
        <f t="shared" si="1"/>
        <v>815350</v>
      </c>
      <c r="X22" s="72">
        <f t="shared" si="2"/>
        <v>3976317</v>
      </c>
    </row>
    <row r="23" spans="2:24" ht="23.1" customHeight="1" x14ac:dyDescent="0.3">
      <c r="B23" s="73">
        <v>44923</v>
      </c>
      <c r="C23" s="74" t="s">
        <v>131</v>
      </c>
      <c r="D23" s="74" t="s">
        <v>39</v>
      </c>
      <c r="E23" s="74" t="s">
        <v>86</v>
      </c>
      <c r="F23" s="69">
        <v>4416667</v>
      </c>
      <c r="G23" s="69">
        <v>0</v>
      </c>
      <c r="H23" s="69">
        <v>0</v>
      </c>
      <c r="I23" s="69">
        <v>0</v>
      </c>
      <c r="J23" s="69">
        <v>0</v>
      </c>
      <c r="K23" s="69">
        <v>0</v>
      </c>
      <c r="L23" s="69">
        <v>0</v>
      </c>
      <c r="M23" s="69">
        <v>0</v>
      </c>
      <c r="N23" s="75">
        <f t="shared" si="0"/>
        <v>4416667</v>
      </c>
      <c r="O23" s="61">
        <v>161050</v>
      </c>
      <c r="P23" s="61">
        <v>128990</v>
      </c>
      <c r="Q23" s="61">
        <v>0</v>
      </c>
      <c r="R23" s="61">
        <v>39750</v>
      </c>
      <c r="S23" s="61">
        <v>16700</v>
      </c>
      <c r="T23" s="61">
        <v>0</v>
      </c>
      <c r="U23" s="61">
        <v>201300</v>
      </c>
      <c r="V23" s="61">
        <v>20130</v>
      </c>
      <c r="W23" s="69">
        <f t="shared" si="1"/>
        <v>567920</v>
      </c>
      <c r="X23" s="72">
        <f t="shared" si="2"/>
        <v>3848747</v>
      </c>
    </row>
    <row r="24" spans="2:24" ht="23.1" customHeight="1" x14ac:dyDescent="0.3">
      <c r="B24" s="73">
        <v>45034</v>
      </c>
      <c r="C24" s="74" t="s">
        <v>132</v>
      </c>
      <c r="D24" s="74" t="s">
        <v>40</v>
      </c>
      <c r="E24" s="74" t="s">
        <v>87</v>
      </c>
      <c r="F24" s="69">
        <v>2983333</v>
      </c>
      <c r="G24" s="69">
        <v>0</v>
      </c>
      <c r="H24" s="69">
        <v>0</v>
      </c>
      <c r="I24" s="69">
        <v>0</v>
      </c>
      <c r="J24" s="69">
        <v>0</v>
      </c>
      <c r="K24" s="69">
        <v>0</v>
      </c>
      <c r="L24" s="69">
        <v>0</v>
      </c>
      <c r="M24" s="69">
        <v>0</v>
      </c>
      <c r="N24" s="75">
        <f t="shared" si="0"/>
        <v>2983333</v>
      </c>
      <c r="O24" s="69">
        <v>134500</v>
      </c>
      <c r="P24" s="69">
        <v>107750</v>
      </c>
      <c r="Q24" s="69">
        <v>21160</v>
      </c>
      <c r="R24" s="69">
        <v>26840</v>
      </c>
      <c r="S24" s="69">
        <v>13950</v>
      </c>
      <c r="T24" s="69">
        <v>0</v>
      </c>
      <c r="U24" s="61">
        <v>72210</v>
      </c>
      <c r="V24" s="69">
        <v>7220</v>
      </c>
      <c r="W24" s="69">
        <f t="shared" si="1"/>
        <v>383630</v>
      </c>
      <c r="X24" s="72">
        <f t="shared" si="2"/>
        <v>2599703</v>
      </c>
    </row>
    <row r="25" spans="2:24" ht="23.1" customHeight="1" x14ac:dyDescent="0.3">
      <c r="B25" s="73">
        <v>45212</v>
      </c>
      <c r="C25" s="74" t="s">
        <v>133</v>
      </c>
      <c r="D25" s="74" t="s">
        <v>41</v>
      </c>
      <c r="E25" s="74" t="s">
        <v>87</v>
      </c>
      <c r="F25" s="69">
        <v>2683333</v>
      </c>
      <c r="G25" s="69">
        <v>0</v>
      </c>
      <c r="H25" s="69">
        <v>0</v>
      </c>
      <c r="I25" s="69">
        <v>0</v>
      </c>
      <c r="J25" s="69">
        <v>0</v>
      </c>
      <c r="K25" s="69">
        <v>0</v>
      </c>
      <c r="L25" s="69">
        <v>0</v>
      </c>
      <c r="M25" s="69">
        <v>0</v>
      </c>
      <c r="N25" s="75">
        <f t="shared" si="0"/>
        <v>2683333</v>
      </c>
      <c r="O25" s="69">
        <v>114880</v>
      </c>
      <c r="P25" s="69">
        <v>92020</v>
      </c>
      <c r="Q25" s="69">
        <v>21060</v>
      </c>
      <c r="R25" s="69">
        <v>24140</v>
      </c>
      <c r="S25" s="69">
        <v>11910</v>
      </c>
      <c r="T25" s="69">
        <v>0</v>
      </c>
      <c r="U25" s="61">
        <v>46540</v>
      </c>
      <c r="V25" s="69">
        <v>4650</v>
      </c>
      <c r="W25" s="69">
        <f t="shared" si="1"/>
        <v>315200</v>
      </c>
      <c r="X25" s="72">
        <f t="shared" si="2"/>
        <v>2368133</v>
      </c>
    </row>
    <row r="26" spans="2:24" ht="23.1" customHeight="1" x14ac:dyDescent="0.3">
      <c r="B26" s="66">
        <v>45366</v>
      </c>
      <c r="C26" s="76" t="s">
        <v>134</v>
      </c>
      <c r="D26" s="76" t="s">
        <v>42</v>
      </c>
      <c r="E26" s="76" t="s">
        <v>86</v>
      </c>
      <c r="F26" s="61">
        <v>3666667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1">
        <v>0</v>
      </c>
      <c r="M26" s="61">
        <v>0</v>
      </c>
      <c r="N26" s="75">
        <f t="shared" si="0"/>
        <v>3666667</v>
      </c>
      <c r="O26" s="61">
        <v>135310</v>
      </c>
      <c r="P26" s="61">
        <v>103780</v>
      </c>
      <c r="Q26" s="61">
        <v>0</v>
      </c>
      <c r="R26" s="61">
        <v>33000</v>
      </c>
      <c r="S26" s="61">
        <v>13440</v>
      </c>
      <c r="T26" s="61">
        <v>0</v>
      </c>
      <c r="U26" s="61">
        <v>88040</v>
      </c>
      <c r="V26" s="61">
        <v>8800</v>
      </c>
      <c r="W26" s="69">
        <f t="shared" si="1"/>
        <v>382370</v>
      </c>
      <c r="X26" s="72">
        <f t="shared" si="2"/>
        <v>3284297</v>
      </c>
    </row>
    <row r="27" spans="2:24" ht="23.1" customHeight="1" x14ac:dyDescent="0.3">
      <c r="B27" s="73">
        <v>45366</v>
      </c>
      <c r="C27" s="74" t="s">
        <v>135</v>
      </c>
      <c r="D27" s="74" t="s">
        <v>43</v>
      </c>
      <c r="E27" s="74" t="s">
        <v>86</v>
      </c>
      <c r="F27" s="69">
        <v>3583333</v>
      </c>
      <c r="G27" s="69">
        <v>0</v>
      </c>
      <c r="H27" s="69">
        <v>0</v>
      </c>
      <c r="I27" s="69">
        <v>0</v>
      </c>
      <c r="J27" s="69">
        <v>0</v>
      </c>
      <c r="K27" s="69">
        <v>0</v>
      </c>
      <c r="L27" s="69">
        <v>0</v>
      </c>
      <c r="M27" s="69">
        <v>0</v>
      </c>
      <c r="N27" s="75">
        <f t="shared" si="0"/>
        <v>3583333</v>
      </c>
      <c r="O27" s="69">
        <v>127390</v>
      </c>
      <c r="P27" s="69">
        <v>97700</v>
      </c>
      <c r="Q27" s="69">
        <v>0</v>
      </c>
      <c r="R27" s="69">
        <v>32240</v>
      </c>
      <c r="S27" s="69">
        <v>12650</v>
      </c>
      <c r="T27" s="69">
        <v>0</v>
      </c>
      <c r="U27" s="61">
        <v>137000</v>
      </c>
      <c r="V27" s="69">
        <v>13700</v>
      </c>
      <c r="W27" s="69">
        <f t="shared" si="1"/>
        <v>420680</v>
      </c>
      <c r="X27" s="72">
        <f t="shared" si="2"/>
        <v>3162653</v>
      </c>
    </row>
    <row r="28" spans="2:24" ht="23.1" customHeight="1" x14ac:dyDescent="0.3">
      <c r="B28" s="66">
        <v>45554</v>
      </c>
      <c r="C28" s="60" t="s">
        <v>137</v>
      </c>
      <c r="D28" s="60" t="s">
        <v>44</v>
      </c>
      <c r="E28" s="60" t="s">
        <v>87</v>
      </c>
      <c r="F28" s="61">
        <v>2583333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1">
        <v>0</v>
      </c>
      <c r="M28" s="61">
        <v>0</v>
      </c>
      <c r="N28" s="77">
        <f t="shared" si="0"/>
        <v>2583333</v>
      </c>
      <c r="O28" s="61">
        <v>106960</v>
      </c>
      <c r="P28" s="61">
        <v>73050</v>
      </c>
      <c r="Q28" s="61">
        <v>0</v>
      </c>
      <c r="R28" s="61">
        <v>23240</v>
      </c>
      <c r="S28" s="61">
        <v>9460</v>
      </c>
      <c r="T28" s="61">
        <v>0</v>
      </c>
      <c r="U28" s="61">
        <v>43110</v>
      </c>
      <c r="V28" s="61">
        <v>4310</v>
      </c>
      <c r="W28" s="61">
        <f t="shared" si="1"/>
        <v>260130</v>
      </c>
      <c r="X28" s="64">
        <f t="shared" si="2"/>
        <v>2323203</v>
      </c>
    </row>
    <row r="29" spans="2:24" ht="23.1" customHeight="1" x14ac:dyDescent="0.3">
      <c r="B29" s="66">
        <v>45593</v>
      </c>
      <c r="C29" s="60" t="s">
        <v>138</v>
      </c>
      <c r="D29" s="60" t="s">
        <v>45</v>
      </c>
      <c r="E29" s="60" t="s">
        <v>87</v>
      </c>
      <c r="F29" s="61">
        <v>2541667</v>
      </c>
      <c r="G29" s="61">
        <v>0</v>
      </c>
      <c r="H29" s="61">
        <v>0</v>
      </c>
      <c r="I29" s="61">
        <v>0</v>
      </c>
      <c r="J29" s="61">
        <v>0</v>
      </c>
      <c r="K29" s="61">
        <v>0</v>
      </c>
      <c r="L29" s="61">
        <v>0</v>
      </c>
      <c r="M29" s="61">
        <v>0</v>
      </c>
      <c r="N29" s="77">
        <f t="shared" si="0"/>
        <v>2541667</v>
      </c>
      <c r="O29" s="61">
        <v>106830</v>
      </c>
      <c r="P29" s="61">
        <v>91190</v>
      </c>
      <c r="Q29" s="61">
        <v>0</v>
      </c>
      <c r="R29" s="61">
        <v>22870</v>
      </c>
      <c r="S29" s="61">
        <v>11800</v>
      </c>
      <c r="T29" s="61">
        <v>0</v>
      </c>
      <c r="U29" s="61">
        <v>38830</v>
      </c>
      <c r="V29" s="61">
        <v>3880</v>
      </c>
      <c r="W29" s="61">
        <f t="shared" si="1"/>
        <v>275400</v>
      </c>
      <c r="X29" s="64">
        <f t="shared" si="2"/>
        <v>2266267</v>
      </c>
    </row>
    <row r="30" spans="2:24" ht="23.1" customHeight="1" x14ac:dyDescent="0.3">
      <c r="B30" s="66">
        <v>45627</v>
      </c>
      <c r="C30" s="60" t="s">
        <v>139</v>
      </c>
      <c r="D30" s="60" t="s">
        <v>46</v>
      </c>
      <c r="E30" s="60" t="s">
        <v>86</v>
      </c>
      <c r="F30" s="61">
        <v>3458333</v>
      </c>
      <c r="G30" s="61">
        <v>0</v>
      </c>
      <c r="H30" s="61">
        <v>0</v>
      </c>
      <c r="I30" s="61">
        <v>0</v>
      </c>
      <c r="J30" s="61">
        <v>0</v>
      </c>
      <c r="K30" s="61">
        <v>0</v>
      </c>
      <c r="L30" s="61">
        <v>0</v>
      </c>
      <c r="M30" s="61">
        <v>0</v>
      </c>
      <c r="N30" s="77">
        <f t="shared" si="0"/>
        <v>3458333</v>
      </c>
      <c r="O30" s="61">
        <v>134230</v>
      </c>
      <c r="P30" s="61">
        <v>109300</v>
      </c>
      <c r="Q30" s="61">
        <v>0</v>
      </c>
      <c r="R30" s="61">
        <v>31120</v>
      </c>
      <c r="S30" s="61">
        <v>14150</v>
      </c>
      <c r="T30" s="61">
        <v>0</v>
      </c>
      <c r="U30" s="61">
        <v>81190</v>
      </c>
      <c r="V30" s="61">
        <v>8110</v>
      </c>
      <c r="W30" s="61">
        <f t="shared" si="1"/>
        <v>378100</v>
      </c>
      <c r="X30" s="64">
        <f t="shared" si="2"/>
        <v>3080233</v>
      </c>
    </row>
    <row r="31" spans="2:24" ht="23.1" customHeight="1" x14ac:dyDescent="0.3">
      <c r="B31" s="66">
        <v>45656</v>
      </c>
      <c r="C31" s="60" t="s">
        <v>140</v>
      </c>
      <c r="D31" s="60" t="s">
        <v>47</v>
      </c>
      <c r="E31" s="60" t="s">
        <v>84</v>
      </c>
      <c r="F31" s="61">
        <v>3083333</v>
      </c>
      <c r="G31" s="61">
        <v>0</v>
      </c>
      <c r="H31" s="61">
        <v>0</v>
      </c>
      <c r="I31" s="61">
        <v>0</v>
      </c>
      <c r="J31" s="61">
        <v>0</v>
      </c>
      <c r="K31" s="61">
        <v>0</v>
      </c>
      <c r="L31" s="61">
        <v>0</v>
      </c>
      <c r="M31" s="61">
        <v>0</v>
      </c>
      <c r="N31" s="77">
        <f t="shared" si="0"/>
        <v>3083333</v>
      </c>
      <c r="O31" s="61">
        <v>138730</v>
      </c>
      <c r="P31" s="61">
        <v>109300</v>
      </c>
      <c r="Q31" s="61">
        <v>0</v>
      </c>
      <c r="R31" s="61">
        <v>27740</v>
      </c>
      <c r="S31" s="61">
        <v>14150</v>
      </c>
      <c r="T31" s="61">
        <v>0</v>
      </c>
      <c r="U31" s="61">
        <v>81190</v>
      </c>
      <c r="V31" s="61">
        <v>8110</v>
      </c>
      <c r="W31" s="61">
        <f t="shared" si="1"/>
        <v>379220</v>
      </c>
      <c r="X31" s="64">
        <f t="shared" si="2"/>
        <v>2704113</v>
      </c>
    </row>
    <row r="32" spans="2:24" ht="23.1" customHeight="1" x14ac:dyDescent="0.3">
      <c r="B32" s="73">
        <v>45761</v>
      </c>
      <c r="C32" s="68" t="s">
        <v>141</v>
      </c>
      <c r="D32" s="68" t="s">
        <v>53</v>
      </c>
      <c r="E32" s="68" t="s">
        <v>86</v>
      </c>
      <c r="F32" s="69">
        <v>3000000</v>
      </c>
      <c r="G32" s="69">
        <v>0</v>
      </c>
      <c r="H32" s="69">
        <v>0</v>
      </c>
      <c r="I32" s="69">
        <v>0</v>
      </c>
      <c r="J32" s="69">
        <v>0</v>
      </c>
      <c r="K32" s="69">
        <v>0</v>
      </c>
      <c r="L32" s="69">
        <v>0</v>
      </c>
      <c r="M32" s="69">
        <v>0</v>
      </c>
      <c r="N32" s="75">
        <f t="shared" si="0"/>
        <v>3000000</v>
      </c>
      <c r="O32" s="69">
        <v>135000</v>
      </c>
      <c r="P32" s="69">
        <v>106350</v>
      </c>
      <c r="Q32" s="69">
        <v>0</v>
      </c>
      <c r="R32" s="69">
        <v>27000</v>
      </c>
      <c r="S32" s="69">
        <v>13770</v>
      </c>
      <c r="T32" s="69">
        <v>0</v>
      </c>
      <c r="U32" s="61">
        <v>74350</v>
      </c>
      <c r="V32" s="69">
        <v>7430</v>
      </c>
      <c r="W32" s="69">
        <f t="shared" si="1"/>
        <v>363900</v>
      </c>
      <c r="X32" s="72">
        <f t="shared" si="2"/>
        <v>2636100</v>
      </c>
    </row>
    <row r="33" spans="2:24" ht="23.1" customHeight="1" thickBot="1" x14ac:dyDescent="0.35">
      <c r="B33" s="78">
        <v>45839</v>
      </c>
      <c r="C33" s="102" t="s">
        <v>142</v>
      </c>
      <c r="D33" s="102" t="s">
        <v>55</v>
      </c>
      <c r="E33" s="102" t="s">
        <v>84</v>
      </c>
      <c r="F33" s="69">
        <v>3250000</v>
      </c>
      <c r="G33" s="69">
        <v>0</v>
      </c>
      <c r="H33" s="69">
        <v>0</v>
      </c>
      <c r="I33" s="69">
        <v>0</v>
      </c>
      <c r="J33" s="69">
        <v>0</v>
      </c>
      <c r="K33" s="69">
        <v>0</v>
      </c>
      <c r="L33" s="69">
        <v>0</v>
      </c>
      <c r="M33" s="69">
        <v>0</v>
      </c>
      <c r="N33" s="75">
        <f t="shared" si="0"/>
        <v>3250000</v>
      </c>
      <c r="O33" s="69">
        <v>146250</v>
      </c>
      <c r="P33" s="69">
        <v>115210</v>
      </c>
      <c r="Q33" s="69">
        <v>0</v>
      </c>
      <c r="R33" s="69">
        <v>29250</v>
      </c>
      <c r="S33" s="69">
        <v>14920</v>
      </c>
      <c r="T33" s="69">
        <v>0</v>
      </c>
      <c r="U33" s="69">
        <v>95430</v>
      </c>
      <c r="V33" s="69">
        <v>9540</v>
      </c>
      <c r="W33" s="69">
        <f>SUM(O33:V33)</f>
        <v>410600</v>
      </c>
      <c r="X33" s="72">
        <f t="shared" si="2"/>
        <v>2839400</v>
      </c>
    </row>
    <row r="34" spans="2:24" ht="22.6" customHeight="1" thickBot="1" x14ac:dyDescent="0.35">
      <c r="B34" s="82" t="s">
        <v>95</v>
      </c>
      <c r="C34" s="113" t="s">
        <v>89</v>
      </c>
      <c r="D34" s="91"/>
      <c r="E34" s="84"/>
      <c r="F34" s="85">
        <f t="shared" ref="F34:X34" si="3">SUM(F5:F33)</f>
        <v>142282638</v>
      </c>
      <c r="G34" s="86">
        <f t="shared" si="3"/>
        <v>2000000</v>
      </c>
      <c r="H34" s="86">
        <f t="shared" si="3"/>
        <v>50000</v>
      </c>
      <c r="I34" s="86">
        <f t="shared" si="3"/>
        <v>0</v>
      </c>
      <c r="J34" s="86">
        <f t="shared" si="3"/>
        <v>0</v>
      </c>
      <c r="K34" s="86">
        <f t="shared" si="3"/>
        <v>0</v>
      </c>
      <c r="L34" s="86">
        <f t="shared" si="3"/>
        <v>0</v>
      </c>
      <c r="M34" s="86">
        <f t="shared" si="3"/>
        <v>6058673</v>
      </c>
      <c r="N34" s="87">
        <f t="shared" si="3"/>
        <v>150391311</v>
      </c>
      <c r="O34" s="88">
        <f t="shared" si="3"/>
        <v>4499920</v>
      </c>
      <c r="P34" s="88">
        <f t="shared" si="3"/>
        <v>5183800</v>
      </c>
      <c r="Q34" s="88">
        <f t="shared" si="3"/>
        <v>916880</v>
      </c>
      <c r="R34" s="88">
        <f t="shared" si="3"/>
        <v>1059220</v>
      </c>
      <c r="S34" s="88">
        <f t="shared" si="3"/>
        <v>671220</v>
      </c>
      <c r="T34" s="88">
        <f t="shared" si="3"/>
        <v>0</v>
      </c>
      <c r="U34" s="103">
        <f>SUM(U5:U33)</f>
        <v>19800180</v>
      </c>
      <c r="V34" s="88">
        <f t="shared" si="3"/>
        <v>1979930</v>
      </c>
      <c r="W34" s="88">
        <f t="shared" si="3"/>
        <v>34111150</v>
      </c>
      <c r="X34" s="89">
        <f t="shared" si="3"/>
        <v>116280161</v>
      </c>
    </row>
    <row r="35" spans="2:24" x14ac:dyDescent="0.3">
      <c r="B35" s="43"/>
      <c r="C35" s="43"/>
      <c r="D35" s="43"/>
      <c r="E35" s="43"/>
      <c r="F35" s="90"/>
      <c r="G35" s="90"/>
      <c r="H35" s="90"/>
      <c r="I35" s="90"/>
      <c r="J35" s="90"/>
      <c r="K35" s="90"/>
      <c r="L35" s="90"/>
      <c r="M35" s="90"/>
      <c r="N35" s="58"/>
      <c r="O35" s="90"/>
      <c r="P35" s="90"/>
      <c r="Q35" s="90"/>
      <c r="R35" s="90"/>
      <c r="S35" s="90"/>
      <c r="T35" s="90"/>
      <c r="U35" s="90"/>
      <c r="V35" s="90"/>
      <c r="W35" s="90"/>
      <c r="X35" s="90"/>
    </row>
    <row r="36" spans="2:24" x14ac:dyDescent="0.3"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123"/>
      <c r="O36" s="90"/>
      <c r="P36" s="90"/>
      <c r="Q36" s="90"/>
      <c r="R36" s="90"/>
      <c r="S36" s="90"/>
      <c r="T36" s="90"/>
      <c r="U36" s="90"/>
      <c r="V36" s="90"/>
      <c r="W36" s="90"/>
      <c r="X36" s="90"/>
    </row>
    <row r="37" spans="2:24" x14ac:dyDescent="0.3"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65"/>
      <c r="O37" s="90"/>
      <c r="P37" s="90"/>
      <c r="Q37" s="90"/>
      <c r="R37" s="90"/>
      <c r="S37" s="90"/>
      <c r="T37" s="90"/>
      <c r="U37" s="90"/>
      <c r="V37" s="90"/>
      <c r="W37" s="90"/>
      <c r="X37" s="90"/>
    </row>
    <row r="38" spans="2:24" x14ac:dyDescent="0.3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90"/>
      <c r="P38" s="90"/>
      <c r="Q38" s="90"/>
      <c r="R38" s="90"/>
      <c r="S38" s="90"/>
      <c r="T38" s="90"/>
      <c r="U38" s="90"/>
      <c r="V38" s="90"/>
      <c r="W38" s="90"/>
      <c r="X38" s="90"/>
    </row>
  </sheetData>
  <autoFilter ref="B4:X35" xr:uid="{196619A8-60C6-478F-AFDB-45203BEC47A6}"/>
  <phoneticPr fontId="2" type="noConversion"/>
  <pageMargins left="0.36" right="0.11811023622047245" top="0.74803149606299213" bottom="0.74803149606299213" header="0.31496062992125984" footer="0.31496062992125984"/>
  <pageSetup paperSize="9" scale="5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7FB7F-DBC2-4DC6-93D7-1E6CA86E9D42}">
  <dimension ref="B1:X39"/>
  <sheetViews>
    <sheetView showGridLines="0" zoomScale="80" zoomScaleNormal="80" workbookViewId="0"/>
  </sheetViews>
  <sheetFormatPr defaultColWidth="9.08984375" defaultRowHeight="13.45" x14ac:dyDescent="0.3"/>
  <cols>
    <col min="1" max="1" width="2" style="42" customWidth="1"/>
    <col min="2" max="2" width="13.54296875" style="42" bestFit="1" customWidth="1"/>
    <col min="3" max="4" width="19" style="42" bestFit="1" customWidth="1"/>
    <col min="5" max="5" width="14.6328125" style="42" bestFit="1" customWidth="1"/>
    <col min="6" max="7" width="13.6328125" style="42" customWidth="1"/>
    <col min="8" max="8" width="23" style="42" customWidth="1"/>
    <col min="9" max="9" width="15.1796875" style="42" bestFit="1" customWidth="1"/>
    <col min="10" max="12" width="14.81640625" style="42" customWidth="1"/>
    <col min="13" max="13" width="15.1796875" style="42" bestFit="1" customWidth="1"/>
    <col min="14" max="14" width="12.6328125" style="42" customWidth="1"/>
    <col min="15" max="15" width="11.54296875" style="42" customWidth="1"/>
    <col min="16" max="16" width="11.453125" style="42" customWidth="1"/>
    <col min="17" max="17" width="19.1796875" style="42" customWidth="1"/>
    <col min="18" max="18" width="11.08984375" style="42" customWidth="1"/>
    <col min="19" max="19" width="15.453125" style="42" customWidth="1"/>
    <col min="20" max="20" width="15.1796875" style="42" bestFit="1" customWidth="1"/>
    <col min="21" max="21" width="12.1796875" style="42" customWidth="1"/>
    <col min="22" max="22" width="12.453125" style="42" customWidth="1"/>
    <col min="23" max="23" width="18.453125" style="42" customWidth="1"/>
    <col min="24" max="24" width="20" style="42" customWidth="1"/>
    <col min="25" max="25" width="9.08984375" style="42"/>
    <col min="26" max="26" width="12.6328125" style="42" bestFit="1" customWidth="1"/>
    <col min="27" max="16384" width="9.08984375" style="42"/>
  </cols>
  <sheetData>
    <row r="1" spans="2:24" ht="9.8000000000000007" customHeight="1" x14ac:dyDescent="0.3"/>
    <row r="2" spans="2:24" s="135" customFormat="1" ht="26.35" customHeight="1" x14ac:dyDescent="0.4">
      <c r="B2" s="133" t="s">
        <v>103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</row>
    <row r="3" spans="2:24" ht="20.3" customHeight="1" thickBot="1" x14ac:dyDescent="0.35"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4" t="s">
        <v>83</v>
      </c>
    </row>
    <row r="4" spans="2:24" s="51" customFormat="1" ht="54.3" thickBot="1" x14ac:dyDescent="0.35">
      <c r="B4" s="45" t="s">
        <v>59</v>
      </c>
      <c r="C4" s="46" t="s">
        <v>60</v>
      </c>
      <c r="D4" s="124" t="s">
        <v>61</v>
      </c>
      <c r="E4" s="47" t="s">
        <v>62</v>
      </c>
      <c r="F4" s="48" t="s">
        <v>63</v>
      </c>
      <c r="G4" s="49" t="s">
        <v>64</v>
      </c>
      <c r="H4" s="108" t="s">
        <v>65</v>
      </c>
      <c r="I4" s="49" t="s">
        <v>66</v>
      </c>
      <c r="J4" s="108" t="s">
        <v>67</v>
      </c>
      <c r="K4" s="49" t="s">
        <v>68</v>
      </c>
      <c r="L4" s="108" t="s">
        <v>69</v>
      </c>
      <c r="M4" s="46" t="s">
        <v>70</v>
      </c>
      <c r="N4" s="47" t="s">
        <v>71</v>
      </c>
      <c r="O4" s="109" t="s">
        <v>72</v>
      </c>
      <c r="P4" s="110" t="s">
        <v>73</v>
      </c>
      <c r="Q4" s="110" t="s">
        <v>74</v>
      </c>
      <c r="R4" s="110" t="s">
        <v>75</v>
      </c>
      <c r="S4" s="110" t="s">
        <v>76</v>
      </c>
      <c r="T4" s="50" t="s">
        <v>77</v>
      </c>
      <c r="U4" s="110" t="s">
        <v>79</v>
      </c>
      <c r="V4" s="110" t="s">
        <v>80</v>
      </c>
      <c r="W4" s="49" t="s">
        <v>81</v>
      </c>
      <c r="X4" s="47" t="s">
        <v>82</v>
      </c>
    </row>
    <row r="5" spans="2:24" ht="23.1" customHeight="1" x14ac:dyDescent="0.3">
      <c r="B5" s="52" t="s">
        <v>1</v>
      </c>
      <c r="C5" s="53" t="s">
        <v>0</v>
      </c>
      <c r="D5" s="53" t="str">
        <f>C5</f>
        <v>Shin Jonghoon Bryan</v>
      </c>
      <c r="E5" s="53" t="s">
        <v>85</v>
      </c>
      <c r="F5" s="96">
        <v>30685417</v>
      </c>
      <c r="G5" s="96">
        <v>2000000</v>
      </c>
      <c r="H5" s="96">
        <v>0</v>
      </c>
      <c r="I5" s="96">
        <v>0</v>
      </c>
      <c r="J5" s="96">
        <v>0</v>
      </c>
      <c r="K5" s="96">
        <v>0</v>
      </c>
      <c r="L5" s="96">
        <v>0</v>
      </c>
      <c r="M5" s="96">
        <v>0</v>
      </c>
      <c r="N5" s="97">
        <f t="shared" ref="N5:N34" si="0">SUM(F5:M5)</f>
        <v>32685417</v>
      </c>
      <c r="O5" s="96">
        <v>286650</v>
      </c>
      <c r="P5" s="96">
        <v>1160390</v>
      </c>
      <c r="Q5" s="96">
        <v>0</v>
      </c>
      <c r="R5" s="96">
        <v>0</v>
      </c>
      <c r="S5" s="96">
        <v>150270</v>
      </c>
      <c r="T5" s="96">
        <v>0</v>
      </c>
      <c r="U5" s="96">
        <v>9669600</v>
      </c>
      <c r="V5" s="96">
        <v>966960</v>
      </c>
      <c r="W5" s="98">
        <f t="shared" ref="W5:W34" si="1">SUM(O5:V5)</f>
        <v>12233870</v>
      </c>
      <c r="X5" s="99">
        <f t="shared" ref="X5:X34" si="2">N5-W5</f>
        <v>20451547</v>
      </c>
    </row>
    <row r="6" spans="2:24" ht="23.1" customHeight="1" x14ac:dyDescent="0.3">
      <c r="B6" s="100">
        <v>45809</v>
      </c>
      <c r="C6" s="101" t="s">
        <v>136</v>
      </c>
      <c r="D6" s="101" t="s">
        <v>29</v>
      </c>
      <c r="E6" s="101" t="s">
        <v>85</v>
      </c>
      <c r="F6" s="61">
        <v>12500000</v>
      </c>
      <c r="G6" s="61">
        <v>0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6058673</v>
      </c>
      <c r="N6" s="62">
        <f t="shared" si="0"/>
        <v>18558673</v>
      </c>
      <c r="O6" s="61">
        <v>261990</v>
      </c>
      <c r="P6" s="61">
        <v>443120</v>
      </c>
      <c r="Q6" s="61">
        <v>0</v>
      </c>
      <c r="R6" s="61">
        <v>0</v>
      </c>
      <c r="S6" s="61">
        <v>57380</v>
      </c>
      <c r="T6" s="61">
        <v>0</v>
      </c>
      <c r="U6" s="61">
        <v>4602040</v>
      </c>
      <c r="V6" s="61">
        <v>460200</v>
      </c>
      <c r="W6" s="63">
        <f t="shared" si="1"/>
        <v>5824730</v>
      </c>
      <c r="X6" s="64">
        <f t="shared" si="2"/>
        <v>12733943</v>
      </c>
    </row>
    <row r="7" spans="2:24" ht="23.1" customHeight="1" x14ac:dyDescent="0.3">
      <c r="B7" s="59" t="s">
        <v>15</v>
      </c>
      <c r="C7" s="60" t="s">
        <v>114</v>
      </c>
      <c r="D7" s="60" t="s">
        <v>22</v>
      </c>
      <c r="E7" s="60" t="s">
        <v>86</v>
      </c>
      <c r="F7" s="61">
        <v>0</v>
      </c>
      <c r="G7" s="61">
        <v>0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2">
        <f t="shared" si="0"/>
        <v>0</v>
      </c>
      <c r="O7" s="61">
        <v>0</v>
      </c>
      <c r="P7" s="61">
        <v>0</v>
      </c>
      <c r="Q7" s="61">
        <v>0</v>
      </c>
      <c r="R7" s="61">
        <v>0</v>
      </c>
      <c r="S7" s="61">
        <v>0</v>
      </c>
      <c r="T7" s="61">
        <v>0</v>
      </c>
      <c r="U7" s="61">
        <v>0</v>
      </c>
      <c r="V7" s="61">
        <v>0</v>
      </c>
      <c r="W7" s="63">
        <f t="shared" si="1"/>
        <v>0</v>
      </c>
      <c r="X7" s="64">
        <f t="shared" si="2"/>
        <v>0</v>
      </c>
    </row>
    <row r="8" spans="2:24" ht="23.1" customHeight="1" x14ac:dyDescent="0.3">
      <c r="B8" s="59" t="s">
        <v>2</v>
      </c>
      <c r="C8" s="60" t="s">
        <v>115</v>
      </c>
      <c r="D8" s="60" t="s">
        <v>23</v>
      </c>
      <c r="E8" s="60" t="s">
        <v>86</v>
      </c>
      <c r="F8" s="61">
        <v>7041667</v>
      </c>
      <c r="G8" s="61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2">
        <f t="shared" si="0"/>
        <v>7041667</v>
      </c>
      <c r="O8" s="61">
        <v>286650</v>
      </c>
      <c r="P8" s="61">
        <v>241550</v>
      </c>
      <c r="Q8" s="61">
        <v>0</v>
      </c>
      <c r="R8" s="61">
        <v>63370</v>
      </c>
      <c r="S8" s="61">
        <v>31280</v>
      </c>
      <c r="T8" s="61">
        <v>0</v>
      </c>
      <c r="U8" s="61">
        <v>535800</v>
      </c>
      <c r="V8" s="61">
        <v>53580</v>
      </c>
      <c r="W8" s="63">
        <f t="shared" si="1"/>
        <v>1212230</v>
      </c>
      <c r="X8" s="64">
        <f t="shared" si="2"/>
        <v>5829437</v>
      </c>
    </row>
    <row r="9" spans="2:24" ht="23.1" customHeight="1" x14ac:dyDescent="0.3">
      <c r="B9" s="59" t="s">
        <v>3</v>
      </c>
      <c r="C9" s="60" t="s">
        <v>116</v>
      </c>
      <c r="D9" s="60" t="s">
        <v>24</v>
      </c>
      <c r="E9" s="60" t="s">
        <v>84</v>
      </c>
      <c r="F9" s="61">
        <v>3158333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2">
        <f t="shared" si="0"/>
        <v>3158333</v>
      </c>
      <c r="O9" s="61">
        <v>139900</v>
      </c>
      <c r="P9" s="61">
        <v>112060</v>
      </c>
      <c r="Q9" s="61">
        <v>0</v>
      </c>
      <c r="R9" s="61">
        <v>28420</v>
      </c>
      <c r="S9" s="61">
        <v>14510</v>
      </c>
      <c r="T9" s="61">
        <v>0</v>
      </c>
      <c r="U9" s="61">
        <v>86330</v>
      </c>
      <c r="V9" s="61">
        <v>8630</v>
      </c>
      <c r="W9" s="63">
        <f t="shared" si="1"/>
        <v>389850</v>
      </c>
      <c r="X9" s="64">
        <f t="shared" si="2"/>
        <v>2768483</v>
      </c>
    </row>
    <row r="10" spans="2:24" ht="23.1" customHeight="1" x14ac:dyDescent="0.3">
      <c r="B10" s="59" t="s">
        <v>4</v>
      </c>
      <c r="C10" s="60" t="s">
        <v>117</v>
      </c>
      <c r="D10" s="60" t="s">
        <v>25</v>
      </c>
      <c r="E10" s="60" t="s">
        <v>84</v>
      </c>
      <c r="F10" s="61">
        <v>0</v>
      </c>
      <c r="G10" s="61">
        <v>0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2">
        <f t="shared" si="0"/>
        <v>0</v>
      </c>
      <c r="O10" s="61">
        <v>0</v>
      </c>
      <c r="P10" s="61">
        <v>0</v>
      </c>
      <c r="Q10" s="61">
        <v>0</v>
      </c>
      <c r="R10" s="61">
        <v>0</v>
      </c>
      <c r="S10" s="61">
        <v>0</v>
      </c>
      <c r="T10" s="61">
        <v>0</v>
      </c>
      <c r="U10" s="61">
        <v>0</v>
      </c>
      <c r="V10" s="61">
        <v>0</v>
      </c>
      <c r="W10" s="63">
        <f t="shared" si="1"/>
        <v>0</v>
      </c>
      <c r="X10" s="64">
        <f t="shared" si="2"/>
        <v>0</v>
      </c>
    </row>
    <row r="11" spans="2:24" ht="23.1" customHeight="1" x14ac:dyDescent="0.3">
      <c r="B11" s="59" t="s">
        <v>5</v>
      </c>
      <c r="C11" s="60" t="s">
        <v>118</v>
      </c>
      <c r="D11" s="60" t="s">
        <v>26</v>
      </c>
      <c r="E11" s="60" t="s">
        <v>86</v>
      </c>
      <c r="F11" s="61">
        <v>3750000</v>
      </c>
      <c r="G11" s="61">
        <v>0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2">
        <f t="shared" si="0"/>
        <v>3750000</v>
      </c>
      <c r="O11" s="61">
        <v>159340</v>
      </c>
      <c r="P11" s="61">
        <v>120230</v>
      </c>
      <c r="Q11" s="61">
        <v>0</v>
      </c>
      <c r="R11" s="61">
        <v>33750</v>
      </c>
      <c r="S11" s="61">
        <v>15570</v>
      </c>
      <c r="T11" s="61">
        <v>0</v>
      </c>
      <c r="U11" s="61">
        <v>156560</v>
      </c>
      <c r="V11" s="61">
        <v>15650</v>
      </c>
      <c r="W11" s="63">
        <f t="shared" si="1"/>
        <v>501100</v>
      </c>
      <c r="X11" s="64">
        <f t="shared" si="2"/>
        <v>3248900</v>
      </c>
    </row>
    <row r="12" spans="2:24" ht="23.1" customHeight="1" x14ac:dyDescent="0.3">
      <c r="B12" s="59" t="s">
        <v>6</v>
      </c>
      <c r="C12" s="60" t="s">
        <v>119</v>
      </c>
      <c r="D12" s="60" t="s">
        <v>27</v>
      </c>
      <c r="E12" s="60" t="s">
        <v>86</v>
      </c>
      <c r="F12" s="61">
        <v>0</v>
      </c>
      <c r="G12" s="61">
        <v>0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2">
        <f t="shared" si="0"/>
        <v>0</v>
      </c>
      <c r="O12" s="61">
        <v>0</v>
      </c>
      <c r="P12" s="61">
        <v>0</v>
      </c>
      <c r="Q12" s="61">
        <v>0</v>
      </c>
      <c r="R12" s="61">
        <v>0</v>
      </c>
      <c r="S12" s="61">
        <v>0</v>
      </c>
      <c r="T12" s="61">
        <v>0</v>
      </c>
      <c r="U12" s="61">
        <v>0</v>
      </c>
      <c r="V12" s="61">
        <v>0</v>
      </c>
      <c r="W12" s="63">
        <f t="shared" si="1"/>
        <v>0</v>
      </c>
      <c r="X12" s="64">
        <f t="shared" si="2"/>
        <v>0</v>
      </c>
    </row>
    <row r="13" spans="2:24" ht="23.1" customHeight="1" x14ac:dyDescent="0.3">
      <c r="B13" s="59" t="s">
        <v>7</v>
      </c>
      <c r="C13" s="60" t="s">
        <v>120</v>
      </c>
      <c r="D13" s="60" t="s">
        <v>28</v>
      </c>
      <c r="E13" s="60" t="s">
        <v>84</v>
      </c>
      <c r="F13" s="61">
        <v>4500000</v>
      </c>
      <c r="G13" s="61">
        <v>0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2">
        <f t="shared" si="0"/>
        <v>4500000</v>
      </c>
      <c r="O13" s="61">
        <v>170100</v>
      </c>
      <c r="P13" s="61">
        <v>136260</v>
      </c>
      <c r="Q13" s="61">
        <v>0</v>
      </c>
      <c r="R13" s="61">
        <v>40500</v>
      </c>
      <c r="S13" s="61">
        <v>17640</v>
      </c>
      <c r="T13" s="61">
        <v>0</v>
      </c>
      <c r="U13" s="61">
        <v>262840</v>
      </c>
      <c r="V13" s="61">
        <v>26280</v>
      </c>
      <c r="W13" s="63">
        <f t="shared" si="1"/>
        <v>653620</v>
      </c>
      <c r="X13" s="64">
        <f t="shared" si="2"/>
        <v>3846380</v>
      </c>
    </row>
    <row r="14" spans="2:24" ht="23.1" customHeight="1" x14ac:dyDescent="0.3">
      <c r="B14" s="59" t="s">
        <v>9</v>
      </c>
      <c r="C14" s="60" t="s">
        <v>122</v>
      </c>
      <c r="D14" s="60" t="s">
        <v>30</v>
      </c>
      <c r="E14" s="60" t="s">
        <v>87</v>
      </c>
      <c r="F14" s="61">
        <v>4025000</v>
      </c>
      <c r="G14" s="61">
        <v>0</v>
      </c>
      <c r="H14" s="61">
        <v>0</v>
      </c>
      <c r="I14" s="61">
        <v>0</v>
      </c>
      <c r="J14" s="61">
        <v>0</v>
      </c>
      <c r="K14" s="61">
        <v>0</v>
      </c>
      <c r="L14" s="61">
        <v>0</v>
      </c>
      <c r="M14" s="61">
        <v>0</v>
      </c>
      <c r="N14" s="62">
        <f t="shared" si="0"/>
        <v>4025000</v>
      </c>
      <c r="O14" s="61">
        <v>189630</v>
      </c>
      <c r="P14" s="61">
        <v>151880</v>
      </c>
      <c r="Q14" s="61">
        <v>0</v>
      </c>
      <c r="R14" s="61">
        <v>36220</v>
      </c>
      <c r="S14" s="61">
        <v>19660</v>
      </c>
      <c r="T14" s="61">
        <v>0</v>
      </c>
      <c r="U14" s="61">
        <v>198630</v>
      </c>
      <c r="V14" s="61">
        <v>19860</v>
      </c>
      <c r="W14" s="63">
        <f t="shared" si="1"/>
        <v>615880</v>
      </c>
      <c r="X14" s="64">
        <f t="shared" si="2"/>
        <v>3409120</v>
      </c>
    </row>
    <row r="15" spans="2:24" ht="23.1" customHeight="1" x14ac:dyDescent="0.3">
      <c r="B15" s="59" t="s">
        <v>10</v>
      </c>
      <c r="C15" s="60" t="s">
        <v>123</v>
      </c>
      <c r="D15" s="60" t="s">
        <v>31</v>
      </c>
      <c r="E15" s="60" t="s">
        <v>86</v>
      </c>
      <c r="F15" s="61">
        <v>10333333</v>
      </c>
      <c r="G15" s="61">
        <v>0</v>
      </c>
      <c r="H15" s="61">
        <v>0</v>
      </c>
      <c r="I15" s="61">
        <v>0</v>
      </c>
      <c r="J15" s="61">
        <v>0</v>
      </c>
      <c r="K15" s="61">
        <v>0</v>
      </c>
      <c r="L15" s="61">
        <v>0</v>
      </c>
      <c r="M15" s="61">
        <v>0</v>
      </c>
      <c r="N15" s="62">
        <f t="shared" si="0"/>
        <v>10333333</v>
      </c>
      <c r="O15" s="61">
        <v>286650</v>
      </c>
      <c r="P15" s="61">
        <v>390540</v>
      </c>
      <c r="Q15" s="61">
        <v>0</v>
      </c>
      <c r="R15" s="61">
        <v>92990</v>
      </c>
      <c r="S15" s="61">
        <v>50570</v>
      </c>
      <c r="T15" s="61">
        <v>0</v>
      </c>
      <c r="U15" s="61">
        <v>1646730</v>
      </c>
      <c r="V15" s="61">
        <v>164670</v>
      </c>
      <c r="W15" s="63">
        <f t="shared" si="1"/>
        <v>2632150</v>
      </c>
      <c r="X15" s="64">
        <f t="shared" si="2"/>
        <v>7701183</v>
      </c>
    </row>
    <row r="16" spans="2:24" ht="23.1" customHeight="1" x14ac:dyDescent="0.3">
      <c r="B16" s="66">
        <v>41699</v>
      </c>
      <c r="C16" s="60" t="s">
        <v>124</v>
      </c>
      <c r="D16" s="60" t="s">
        <v>32</v>
      </c>
      <c r="E16" s="60" t="s">
        <v>86</v>
      </c>
      <c r="F16" s="61">
        <v>6458333</v>
      </c>
      <c r="G16" s="61">
        <v>0</v>
      </c>
      <c r="H16" s="61">
        <v>0</v>
      </c>
      <c r="I16" s="61">
        <v>0</v>
      </c>
      <c r="J16" s="61">
        <v>300000</v>
      </c>
      <c r="K16" s="61">
        <v>0</v>
      </c>
      <c r="L16" s="61">
        <v>0</v>
      </c>
      <c r="M16" s="61">
        <v>0</v>
      </c>
      <c r="N16" s="62">
        <f t="shared" si="0"/>
        <v>6758333</v>
      </c>
      <c r="O16" s="61">
        <v>277290</v>
      </c>
      <c r="P16" s="61">
        <v>222110</v>
      </c>
      <c r="Q16" s="61">
        <v>0</v>
      </c>
      <c r="R16" s="61">
        <v>60820</v>
      </c>
      <c r="S16" s="61">
        <v>28760</v>
      </c>
      <c r="T16" s="61">
        <v>0</v>
      </c>
      <c r="U16" s="61">
        <v>557960</v>
      </c>
      <c r="V16" s="61">
        <v>55790</v>
      </c>
      <c r="W16" s="63">
        <f t="shared" si="1"/>
        <v>1202730</v>
      </c>
      <c r="X16" s="64">
        <f t="shared" si="2"/>
        <v>5555603</v>
      </c>
    </row>
    <row r="17" spans="2:24" ht="23.1" customHeight="1" x14ac:dyDescent="0.3">
      <c r="B17" s="59" t="s">
        <v>11</v>
      </c>
      <c r="C17" s="60" t="s">
        <v>125</v>
      </c>
      <c r="D17" s="60" t="s">
        <v>33</v>
      </c>
      <c r="E17" s="60" t="s">
        <v>87</v>
      </c>
      <c r="F17" s="61">
        <v>3766667</v>
      </c>
      <c r="G17" s="61">
        <v>0</v>
      </c>
      <c r="H17" s="61">
        <v>0</v>
      </c>
      <c r="I17" s="61">
        <v>0</v>
      </c>
      <c r="J17" s="61">
        <v>0</v>
      </c>
      <c r="K17" s="61">
        <v>0</v>
      </c>
      <c r="L17" s="61">
        <v>0</v>
      </c>
      <c r="M17" s="61">
        <v>0</v>
      </c>
      <c r="N17" s="62">
        <f t="shared" si="0"/>
        <v>3766667</v>
      </c>
      <c r="O17" s="61">
        <v>178330</v>
      </c>
      <c r="P17" s="61">
        <v>142860</v>
      </c>
      <c r="Q17" s="61">
        <v>0</v>
      </c>
      <c r="R17" s="61">
        <v>33900</v>
      </c>
      <c r="S17" s="61">
        <v>18500</v>
      </c>
      <c r="T17" s="61">
        <v>0</v>
      </c>
      <c r="U17" s="61">
        <v>163920</v>
      </c>
      <c r="V17" s="61">
        <v>16390</v>
      </c>
      <c r="W17" s="63">
        <f t="shared" si="1"/>
        <v>553900</v>
      </c>
      <c r="X17" s="64">
        <f t="shared" si="2"/>
        <v>3212767</v>
      </c>
    </row>
    <row r="18" spans="2:24" ht="23.1" customHeight="1" x14ac:dyDescent="0.3">
      <c r="B18" s="59" t="s">
        <v>12</v>
      </c>
      <c r="C18" s="60" t="s">
        <v>126</v>
      </c>
      <c r="D18" s="60" t="s">
        <v>34</v>
      </c>
      <c r="E18" s="60" t="s">
        <v>87</v>
      </c>
      <c r="F18" s="61">
        <v>4800000</v>
      </c>
      <c r="G18" s="61">
        <v>0</v>
      </c>
      <c r="H18" s="61">
        <v>50000</v>
      </c>
      <c r="I18" s="61">
        <v>0</v>
      </c>
      <c r="J18" s="61">
        <v>0</v>
      </c>
      <c r="K18" s="61">
        <v>0</v>
      </c>
      <c r="L18" s="61">
        <v>0</v>
      </c>
      <c r="M18" s="61">
        <v>0</v>
      </c>
      <c r="N18" s="62">
        <f t="shared" si="0"/>
        <v>4850000</v>
      </c>
      <c r="O18" s="61">
        <v>223830</v>
      </c>
      <c r="P18" s="61">
        <v>179300</v>
      </c>
      <c r="Q18" s="61">
        <v>0</v>
      </c>
      <c r="R18" s="61">
        <v>43650</v>
      </c>
      <c r="S18" s="61">
        <v>23220</v>
      </c>
      <c r="T18" s="61">
        <v>0</v>
      </c>
      <c r="U18" s="61">
        <v>313030</v>
      </c>
      <c r="V18" s="61">
        <v>31300</v>
      </c>
      <c r="W18" s="63">
        <f t="shared" si="1"/>
        <v>814330</v>
      </c>
      <c r="X18" s="64">
        <f t="shared" si="2"/>
        <v>4035670</v>
      </c>
    </row>
    <row r="19" spans="2:24" ht="23.1" customHeight="1" x14ac:dyDescent="0.3">
      <c r="B19" s="59" t="s">
        <v>13</v>
      </c>
      <c r="C19" s="60" t="s">
        <v>127</v>
      </c>
      <c r="D19" s="60" t="s">
        <v>35</v>
      </c>
      <c r="E19" s="60" t="s">
        <v>87</v>
      </c>
      <c r="F19" s="61">
        <v>3433333</v>
      </c>
      <c r="G19" s="61">
        <v>0</v>
      </c>
      <c r="H19" s="61">
        <v>0</v>
      </c>
      <c r="I19" s="61">
        <v>0</v>
      </c>
      <c r="J19" s="61">
        <v>0</v>
      </c>
      <c r="K19" s="61">
        <v>0</v>
      </c>
      <c r="L19" s="61">
        <v>0</v>
      </c>
      <c r="M19" s="61">
        <v>0</v>
      </c>
      <c r="N19" s="62">
        <f t="shared" si="0"/>
        <v>3433333</v>
      </c>
      <c r="O19" s="61">
        <v>154480</v>
      </c>
      <c r="P19" s="61">
        <v>121710</v>
      </c>
      <c r="Q19" s="61">
        <v>0</v>
      </c>
      <c r="R19" s="61">
        <v>30890</v>
      </c>
      <c r="S19" s="61">
        <v>15760</v>
      </c>
      <c r="T19" s="61">
        <v>0</v>
      </c>
      <c r="U19" s="61">
        <v>124770</v>
      </c>
      <c r="V19" s="61">
        <v>12470</v>
      </c>
      <c r="W19" s="63">
        <f t="shared" si="1"/>
        <v>460080</v>
      </c>
      <c r="X19" s="64">
        <f t="shared" si="2"/>
        <v>2973253</v>
      </c>
    </row>
    <row r="20" spans="2:24" ht="23.1" customHeight="1" x14ac:dyDescent="0.3">
      <c r="B20" s="59" t="s">
        <v>14</v>
      </c>
      <c r="C20" s="60" t="s">
        <v>128</v>
      </c>
      <c r="D20" s="60" t="s">
        <v>36</v>
      </c>
      <c r="E20" s="60" t="s">
        <v>87</v>
      </c>
      <c r="F20" s="61">
        <v>3441667</v>
      </c>
      <c r="G20" s="61">
        <v>0</v>
      </c>
      <c r="H20" s="61">
        <v>0</v>
      </c>
      <c r="I20" s="61">
        <v>0</v>
      </c>
      <c r="J20" s="61">
        <v>0</v>
      </c>
      <c r="K20" s="61">
        <v>0</v>
      </c>
      <c r="L20" s="61">
        <v>0</v>
      </c>
      <c r="M20" s="61">
        <v>0</v>
      </c>
      <c r="N20" s="62">
        <f t="shared" si="0"/>
        <v>3441667</v>
      </c>
      <c r="O20" s="61">
        <v>158440</v>
      </c>
      <c r="P20" s="61">
        <v>126910</v>
      </c>
      <c r="Q20" s="61">
        <v>0</v>
      </c>
      <c r="R20" s="61">
        <v>30970</v>
      </c>
      <c r="S20" s="61">
        <v>16430</v>
      </c>
      <c r="T20" s="61">
        <v>0</v>
      </c>
      <c r="U20" s="61">
        <v>-14940</v>
      </c>
      <c r="V20" s="61">
        <v>-1510</v>
      </c>
      <c r="W20" s="63">
        <f t="shared" si="1"/>
        <v>316300</v>
      </c>
      <c r="X20" s="64">
        <f t="shared" si="2"/>
        <v>3125367</v>
      </c>
    </row>
    <row r="21" spans="2:24" ht="23.1" customHeight="1" x14ac:dyDescent="0.3">
      <c r="B21" s="67" t="s">
        <v>16</v>
      </c>
      <c r="C21" s="68" t="s">
        <v>129</v>
      </c>
      <c r="D21" s="68" t="s">
        <v>37</v>
      </c>
      <c r="E21" s="68" t="s">
        <v>86</v>
      </c>
      <c r="F21" s="69">
        <v>3833333</v>
      </c>
      <c r="G21" s="69">
        <v>0</v>
      </c>
      <c r="H21" s="69">
        <v>0</v>
      </c>
      <c r="I21" s="69">
        <v>0</v>
      </c>
      <c r="J21" s="69">
        <v>0</v>
      </c>
      <c r="K21" s="69">
        <v>0</v>
      </c>
      <c r="L21" s="69">
        <v>0</v>
      </c>
      <c r="M21" s="69">
        <v>0</v>
      </c>
      <c r="N21" s="70">
        <f t="shared" si="0"/>
        <v>3833333</v>
      </c>
      <c r="O21" s="61">
        <v>164020</v>
      </c>
      <c r="P21" s="61">
        <v>131380</v>
      </c>
      <c r="Q21" s="61">
        <v>12510</v>
      </c>
      <c r="R21" s="61">
        <v>34490</v>
      </c>
      <c r="S21" s="61">
        <v>17010</v>
      </c>
      <c r="T21" s="61">
        <v>0</v>
      </c>
      <c r="U21" s="61">
        <v>134550</v>
      </c>
      <c r="V21" s="61">
        <v>13450</v>
      </c>
      <c r="W21" s="71">
        <f t="shared" si="1"/>
        <v>507410</v>
      </c>
      <c r="X21" s="72">
        <f t="shared" si="2"/>
        <v>3325923</v>
      </c>
    </row>
    <row r="22" spans="2:24" ht="23.1" customHeight="1" x14ac:dyDescent="0.3">
      <c r="B22" s="73">
        <v>44879</v>
      </c>
      <c r="C22" s="74" t="s">
        <v>130</v>
      </c>
      <c r="D22" s="74" t="s">
        <v>38</v>
      </c>
      <c r="E22" s="74" t="s">
        <v>86</v>
      </c>
      <c r="F22" s="69">
        <v>4791667</v>
      </c>
      <c r="G22" s="69">
        <v>0</v>
      </c>
      <c r="H22" s="69">
        <v>0</v>
      </c>
      <c r="I22" s="69">
        <v>0</v>
      </c>
      <c r="J22" s="69">
        <v>0</v>
      </c>
      <c r="K22" s="69">
        <v>0</v>
      </c>
      <c r="L22" s="69">
        <v>0</v>
      </c>
      <c r="M22" s="69">
        <v>0</v>
      </c>
      <c r="N22" s="75">
        <f t="shared" si="0"/>
        <v>4791667</v>
      </c>
      <c r="O22" s="61">
        <v>219820</v>
      </c>
      <c r="P22" s="61">
        <v>176060</v>
      </c>
      <c r="Q22" s="61">
        <v>18480</v>
      </c>
      <c r="R22" s="61">
        <v>43120</v>
      </c>
      <c r="S22" s="61">
        <v>22800</v>
      </c>
      <c r="T22" s="61">
        <v>0</v>
      </c>
      <c r="U22" s="61">
        <v>304610</v>
      </c>
      <c r="V22" s="61">
        <v>30460</v>
      </c>
      <c r="W22" s="71">
        <f t="shared" si="1"/>
        <v>815350</v>
      </c>
      <c r="X22" s="72">
        <f t="shared" si="2"/>
        <v>3976317</v>
      </c>
    </row>
    <row r="23" spans="2:24" ht="23.1" customHeight="1" x14ac:dyDescent="0.3">
      <c r="B23" s="73">
        <v>44923</v>
      </c>
      <c r="C23" s="74" t="s">
        <v>131</v>
      </c>
      <c r="D23" s="74" t="s">
        <v>39</v>
      </c>
      <c r="E23" s="74" t="s">
        <v>86</v>
      </c>
      <c r="F23" s="69">
        <v>4416667</v>
      </c>
      <c r="G23" s="69">
        <v>0</v>
      </c>
      <c r="H23" s="69">
        <v>0</v>
      </c>
      <c r="I23" s="69">
        <v>0</v>
      </c>
      <c r="J23" s="69">
        <v>0</v>
      </c>
      <c r="K23" s="69">
        <v>0</v>
      </c>
      <c r="L23" s="69">
        <v>0</v>
      </c>
      <c r="M23" s="69">
        <v>0</v>
      </c>
      <c r="N23" s="75">
        <f t="shared" si="0"/>
        <v>4416667</v>
      </c>
      <c r="O23" s="61">
        <v>161050</v>
      </c>
      <c r="P23" s="61">
        <v>128990</v>
      </c>
      <c r="Q23" s="61">
        <v>0</v>
      </c>
      <c r="R23" s="61">
        <v>39750</v>
      </c>
      <c r="S23" s="61">
        <v>16700</v>
      </c>
      <c r="T23" s="61">
        <v>0</v>
      </c>
      <c r="U23" s="61">
        <v>201300</v>
      </c>
      <c r="V23" s="61">
        <v>20130</v>
      </c>
      <c r="W23" s="69">
        <f t="shared" si="1"/>
        <v>567920</v>
      </c>
      <c r="X23" s="72">
        <f t="shared" si="2"/>
        <v>3848747</v>
      </c>
    </row>
    <row r="24" spans="2:24" ht="23.1" customHeight="1" x14ac:dyDescent="0.3">
      <c r="B24" s="73">
        <v>45034</v>
      </c>
      <c r="C24" s="74" t="s">
        <v>132</v>
      </c>
      <c r="D24" s="74" t="s">
        <v>40</v>
      </c>
      <c r="E24" s="74" t="s">
        <v>87</v>
      </c>
      <c r="F24" s="69">
        <v>2983333</v>
      </c>
      <c r="G24" s="69">
        <v>0</v>
      </c>
      <c r="H24" s="69">
        <v>0</v>
      </c>
      <c r="I24" s="69">
        <v>0</v>
      </c>
      <c r="J24" s="69">
        <v>0</v>
      </c>
      <c r="K24" s="69">
        <v>0</v>
      </c>
      <c r="L24" s="69">
        <v>0</v>
      </c>
      <c r="M24" s="69">
        <v>0</v>
      </c>
      <c r="N24" s="75">
        <f t="shared" si="0"/>
        <v>2983333</v>
      </c>
      <c r="O24" s="69">
        <v>134500</v>
      </c>
      <c r="P24" s="69">
        <v>107750</v>
      </c>
      <c r="Q24" s="69">
        <v>21160</v>
      </c>
      <c r="R24" s="69">
        <v>26840</v>
      </c>
      <c r="S24" s="69">
        <v>13950</v>
      </c>
      <c r="T24" s="69">
        <v>0</v>
      </c>
      <c r="U24" s="61">
        <v>72210</v>
      </c>
      <c r="V24" s="69">
        <v>7220</v>
      </c>
      <c r="W24" s="69">
        <f t="shared" si="1"/>
        <v>383630</v>
      </c>
      <c r="X24" s="72">
        <f t="shared" si="2"/>
        <v>2599703</v>
      </c>
    </row>
    <row r="25" spans="2:24" ht="23.1" customHeight="1" x14ac:dyDescent="0.3">
      <c r="B25" s="73">
        <v>45212</v>
      </c>
      <c r="C25" s="74" t="s">
        <v>133</v>
      </c>
      <c r="D25" s="74" t="s">
        <v>41</v>
      </c>
      <c r="E25" s="74" t="s">
        <v>87</v>
      </c>
      <c r="F25" s="69">
        <v>2683333</v>
      </c>
      <c r="G25" s="69">
        <v>0</v>
      </c>
      <c r="H25" s="69">
        <v>0</v>
      </c>
      <c r="I25" s="69">
        <v>0</v>
      </c>
      <c r="J25" s="69">
        <v>0</v>
      </c>
      <c r="K25" s="69">
        <v>0</v>
      </c>
      <c r="L25" s="69">
        <v>0</v>
      </c>
      <c r="M25" s="69">
        <v>0</v>
      </c>
      <c r="N25" s="75">
        <f t="shared" si="0"/>
        <v>2683333</v>
      </c>
      <c r="O25" s="69">
        <v>114880</v>
      </c>
      <c r="P25" s="69">
        <v>92020</v>
      </c>
      <c r="Q25" s="69">
        <v>21060</v>
      </c>
      <c r="R25" s="69">
        <v>24140</v>
      </c>
      <c r="S25" s="69">
        <v>11910</v>
      </c>
      <c r="T25" s="69">
        <v>0</v>
      </c>
      <c r="U25" s="61">
        <v>46540</v>
      </c>
      <c r="V25" s="69">
        <v>4650</v>
      </c>
      <c r="W25" s="69">
        <f t="shared" si="1"/>
        <v>315200</v>
      </c>
      <c r="X25" s="72">
        <f t="shared" si="2"/>
        <v>2368133</v>
      </c>
    </row>
    <row r="26" spans="2:24" ht="23.1" customHeight="1" x14ac:dyDescent="0.3">
      <c r="B26" s="66">
        <v>45366</v>
      </c>
      <c r="C26" s="76" t="s">
        <v>134</v>
      </c>
      <c r="D26" s="76" t="s">
        <v>42</v>
      </c>
      <c r="E26" s="76" t="s">
        <v>86</v>
      </c>
      <c r="F26" s="61">
        <v>3666667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1">
        <v>0</v>
      </c>
      <c r="M26" s="61">
        <v>0</v>
      </c>
      <c r="N26" s="75">
        <f t="shared" si="0"/>
        <v>3666667</v>
      </c>
      <c r="O26" s="61">
        <v>135310</v>
      </c>
      <c r="P26" s="61">
        <v>103780</v>
      </c>
      <c r="Q26" s="61">
        <v>0</v>
      </c>
      <c r="R26" s="61">
        <v>33000</v>
      </c>
      <c r="S26" s="61">
        <v>13440</v>
      </c>
      <c r="T26" s="61">
        <v>0</v>
      </c>
      <c r="U26" s="61">
        <v>88040</v>
      </c>
      <c r="V26" s="61">
        <v>8800</v>
      </c>
      <c r="W26" s="69">
        <f t="shared" si="1"/>
        <v>382370</v>
      </c>
      <c r="X26" s="72">
        <f t="shared" si="2"/>
        <v>3284297</v>
      </c>
    </row>
    <row r="27" spans="2:24" ht="23.1" customHeight="1" x14ac:dyDescent="0.3">
      <c r="B27" s="73">
        <v>45366</v>
      </c>
      <c r="C27" s="74" t="s">
        <v>135</v>
      </c>
      <c r="D27" s="74" t="s">
        <v>43</v>
      </c>
      <c r="E27" s="74" t="s">
        <v>86</v>
      </c>
      <c r="F27" s="69">
        <v>3583333</v>
      </c>
      <c r="G27" s="69">
        <v>0</v>
      </c>
      <c r="H27" s="69">
        <v>0</v>
      </c>
      <c r="I27" s="69">
        <v>0</v>
      </c>
      <c r="J27" s="69">
        <v>0</v>
      </c>
      <c r="K27" s="69">
        <v>0</v>
      </c>
      <c r="L27" s="69">
        <v>0</v>
      </c>
      <c r="M27" s="69">
        <v>0</v>
      </c>
      <c r="N27" s="75">
        <f t="shared" si="0"/>
        <v>3583333</v>
      </c>
      <c r="O27" s="69">
        <v>127390</v>
      </c>
      <c r="P27" s="69">
        <v>97700</v>
      </c>
      <c r="Q27" s="69">
        <v>0</v>
      </c>
      <c r="R27" s="69">
        <v>32240</v>
      </c>
      <c r="S27" s="69">
        <v>12650</v>
      </c>
      <c r="T27" s="69">
        <v>0</v>
      </c>
      <c r="U27" s="61">
        <v>137000</v>
      </c>
      <c r="V27" s="69">
        <v>13700</v>
      </c>
      <c r="W27" s="69">
        <f t="shared" si="1"/>
        <v>420680</v>
      </c>
      <c r="X27" s="72">
        <f t="shared" si="2"/>
        <v>3162653</v>
      </c>
    </row>
    <row r="28" spans="2:24" ht="23.1" customHeight="1" x14ac:dyDescent="0.3">
      <c r="B28" s="66">
        <v>45554</v>
      </c>
      <c r="C28" s="60" t="s">
        <v>137</v>
      </c>
      <c r="D28" s="60" t="s">
        <v>44</v>
      </c>
      <c r="E28" s="60" t="s">
        <v>87</v>
      </c>
      <c r="F28" s="61">
        <v>2583333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1">
        <v>0</v>
      </c>
      <c r="M28" s="61">
        <v>0</v>
      </c>
      <c r="N28" s="77">
        <f t="shared" si="0"/>
        <v>2583333</v>
      </c>
      <c r="O28" s="61">
        <v>106960</v>
      </c>
      <c r="P28" s="61">
        <v>73050</v>
      </c>
      <c r="Q28" s="61">
        <v>0</v>
      </c>
      <c r="R28" s="61">
        <v>23240</v>
      </c>
      <c r="S28" s="61">
        <v>9460</v>
      </c>
      <c r="T28" s="61">
        <v>0</v>
      </c>
      <c r="U28" s="61">
        <v>43110</v>
      </c>
      <c r="V28" s="61">
        <v>4310</v>
      </c>
      <c r="W28" s="61">
        <f t="shared" si="1"/>
        <v>260130</v>
      </c>
      <c r="X28" s="64">
        <f t="shared" si="2"/>
        <v>2323203</v>
      </c>
    </row>
    <row r="29" spans="2:24" ht="23.1" customHeight="1" x14ac:dyDescent="0.3">
      <c r="B29" s="66">
        <v>45593</v>
      </c>
      <c r="C29" s="60" t="s">
        <v>138</v>
      </c>
      <c r="D29" s="60" t="s">
        <v>45</v>
      </c>
      <c r="E29" s="60" t="s">
        <v>87</v>
      </c>
      <c r="F29" s="61">
        <v>2541667</v>
      </c>
      <c r="G29" s="61">
        <v>0</v>
      </c>
      <c r="H29" s="61">
        <v>0</v>
      </c>
      <c r="I29" s="61">
        <v>0</v>
      </c>
      <c r="J29" s="61">
        <v>0</v>
      </c>
      <c r="K29" s="61">
        <v>0</v>
      </c>
      <c r="L29" s="61">
        <v>0</v>
      </c>
      <c r="M29" s="61">
        <v>0</v>
      </c>
      <c r="N29" s="77">
        <f t="shared" si="0"/>
        <v>2541667</v>
      </c>
      <c r="O29" s="61">
        <v>106830</v>
      </c>
      <c r="P29" s="61">
        <v>91190</v>
      </c>
      <c r="Q29" s="61">
        <v>0</v>
      </c>
      <c r="R29" s="61">
        <v>22870</v>
      </c>
      <c r="S29" s="61">
        <v>11800</v>
      </c>
      <c r="T29" s="61">
        <v>0</v>
      </c>
      <c r="U29" s="61">
        <v>38830</v>
      </c>
      <c r="V29" s="61">
        <v>3880</v>
      </c>
      <c r="W29" s="61">
        <f t="shared" si="1"/>
        <v>275400</v>
      </c>
      <c r="X29" s="64">
        <f t="shared" si="2"/>
        <v>2266267</v>
      </c>
    </row>
    <row r="30" spans="2:24" ht="23.1" customHeight="1" x14ac:dyDescent="0.3">
      <c r="B30" s="66">
        <v>45627</v>
      </c>
      <c r="C30" s="60" t="s">
        <v>139</v>
      </c>
      <c r="D30" s="60" t="s">
        <v>46</v>
      </c>
      <c r="E30" s="60" t="s">
        <v>86</v>
      </c>
      <c r="F30" s="61">
        <v>3458333</v>
      </c>
      <c r="G30" s="61">
        <v>0</v>
      </c>
      <c r="H30" s="61">
        <v>0</v>
      </c>
      <c r="I30" s="61">
        <v>0</v>
      </c>
      <c r="J30" s="61">
        <v>0</v>
      </c>
      <c r="K30" s="61">
        <v>0</v>
      </c>
      <c r="L30" s="61">
        <v>0</v>
      </c>
      <c r="M30" s="61">
        <v>0</v>
      </c>
      <c r="N30" s="77">
        <f t="shared" si="0"/>
        <v>3458333</v>
      </c>
      <c r="O30" s="61">
        <v>134230</v>
      </c>
      <c r="P30" s="61">
        <v>109300</v>
      </c>
      <c r="Q30" s="61">
        <v>0</v>
      </c>
      <c r="R30" s="61">
        <v>31120</v>
      </c>
      <c r="S30" s="61">
        <v>14150</v>
      </c>
      <c r="T30" s="61">
        <v>0</v>
      </c>
      <c r="U30" s="61">
        <v>81190</v>
      </c>
      <c r="V30" s="61">
        <v>8110</v>
      </c>
      <c r="W30" s="61">
        <f t="shared" si="1"/>
        <v>378100</v>
      </c>
      <c r="X30" s="64">
        <f t="shared" si="2"/>
        <v>3080233</v>
      </c>
    </row>
    <row r="31" spans="2:24" ht="23.1" customHeight="1" x14ac:dyDescent="0.3">
      <c r="B31" s="66">
        <v>45656</v>
      </c>
      <c r="C31" s="60" t="s">
        <v>140</v>
      </c>
      <c r="D31" s="60" t="s">
        <v>47</v>
      </c>
      <c r="E31" s="60" t="s">
        <v>84</v>
      </c>
      <c r="F31" s="61">
        <v>3083333</v>
      </c>
      <c r="G31" s="61">
        <v>0</v>
      </c>
      <c r="H31" s="61">
        <v>0</v>
      </c>
      <c r="I31" s="61">
        <v>0</v>
      </c>
      <c r="J31" s="61">
        <v>0</v>
      </c>
      <c r="K31" s="61">
        <v>0</v>
      </c>
      <c r="L31" s="61">
        <v>0</v>
      </c>
      <c r="M31" s="61">
        <v>0</v>
      </c>
      <c r="N31" s="77">
        <f t="shared" si="0"/>
        <v>3083333</v>
      </c>
      <c r="O31" s="61">
        <v>138730</v>
      </c>
      <c r="P31" s="61">
        <v>109300</v>
      </c>
      <c r="Q31" s="61">
        <v>0</v>
      </c>
      <c r="R31" s="61">
        <v>27740</v>
      </c>
      <c r="S31" s="61">
        <v>14150</v>
      </c>
      <c r="T31" s="61">
        <v>0</v>
      </c>
      <c r="U31" s="61">
        <v>81190</v>
      </c>
      <c r="V31" s="61">
        <v>8110</v>
      </c>
      <c r="W31" s="61">
        <f t="shared" si="1"/>
        <v>379220</v>
      </c>
      <c r="X31" s="64">
        <f t="shared" si="2"/>
        <v>2704113</v>
      </c>
    </row>
    <row r="32" spans="2:24" ht="23.1" customHeight="1" x14ac:dyDescent="0.3">
      <c r="B32" s="73">
        <v>45761</v>
      </c>
      <c r="C32" s="68" t="s">
        <v>141</v>
      </c>
      <c r="D32" s="68" t="s">
        <v>53</v>
      </c>
      <c r="E32" s="68" t="s">
        <v>86</v>
      </c>
      <c r="F32" s="69">
        <v>3000000</v>
      </c>
      <c r="G32" s="69">
        <v>0</v>
      </c>
      <c r="H32" s="69">
        <v>0</v>
      </c>
      <c r="I32" s="69">
        <v>0</v>
      </c>
      <c r="J32" s="69">
        <v>0</v>
      </c>
      <c r="K32" s="69">
        <v>0</v>
      </c>
      <c r="L32" s="69">
        <v>0</v>
      </c>
      <c r="M32" s="69">
        <v>0</v>
      </c>
      <c r="N32" s="75">
        <f t="shared" si="0"/>
        <v>3000000</v>
      </c>
      <c r="O32" s="69">
        <v>135000</v>
      </c>
      <c r="P32" s="69">
        <v>106350</v>
      </c>
      <c r="Q32" s="69">
        <v>0</v>
      </c>
      <c r="R32" s="69">
        <v>27000</v>
      </c>
      <c r="S32" s="69">
        <v>13770</v>
      </c>
      <c r="T32" s="69">
        <v>0</v>
      </c>
      <c r="U32" s="61">
        <v>74350</v>
      </c>
      <c r="V32" s="69">
        <v>7430</v>
      </c>
      <c r="W32" s="69">
        <f t="shared" si="1"/>
        <v>363900</v>
      </c>
      <c r="X32" s="72">
        <f t="shared" si="2"/>
        <v>2636100</v>
      </c>
    </row>
    <row r="33" spans="2:24" ht="23.1" customHeight="1" x14ac:dyDescent="0.3">
      <c r="B33" s="73">
        <v>45839</v>
      </c>
      <c r="C33" s="68" t="s">
        <v>142</v>
      </c>
      <c r="D33" s="68" t="s">
        <v>55</v>
      </c>
      <c r="E33" s="68" t="s">
        <v>84</v>
      </c>
      <c r="F33" s="69">
        <v>3250000</v>
      </c>
      <c r="G33" s="69">
        <v>0</v>
      </c>
      <c r="H33" s="69">
        <v>0</v>
      </c>
      <c r="I33" s="69">
        <v>0</v>
      </c>
      <c r="J33" s="69">
        <v>0</v>
      </c>
      <c r="K33" s="69">
        <v>0</v>
      </c>
      <c r="L33" s="69">
        <v>0</v>
      </c>
      <c r="M33" s="69">
        <v>0</v>
      </c>
      <c r="N33" s="75">
        <f t="shared" si="0"/>
        <v>3250000</v>
      </c>
      <c r="O33" s="69">
        <v>146250</v>
      </c>
      <c r="P33" s="69">
        <v>115210</v>
      </c>
      <c r="Q33" s="69">
        <v>0</v>
      </c>
      <c r="R33" s="69">
        <v>29250</v>
      </c>
      <c r="S33" s="69">
        <v>14920</v>
      </c>
      <c r="T33" s="69">
        <v>0</v>
      </c>
      <c r="U33" s="69">
        <v>95430</v>
      </c>
      <c r="V33" s="69">
        <v>9540</v>
      </c>
      <c r="W33" s="69">
        <f t="shared" si="1"/>
        <v>410600</v>
      </c>
      <c r="X33" s="72">
        <f t="shared" si="2"/>
        <v>2839400</v>
      </c>
    </row>
    <row r="34" spans="2:24" ht="23.1" customHeight="1" thickBot="1" x14ac:dyDescent="0.35">
      <c r="B34" s="78">
        <v>45943</v>
      </c>
      <c r="C34" s="128" t="s">
        <v>56</v>
      </c>
      <c r="D34" s="128" t="s">
        <v>57</v>
      </c>
      <c r="E34" s="128" t="s">
        <v>86</v>
      </c>
      <c r="F34" s="79">
        <v>1940860</v>
      </c>
      <c r="G34" s="79">
        <v>0</v>
      </c>
      <c r="H34" s="79">
        <v>0</v>
      </c>
      <c r="I34" s="79">
        <v>0</v>
      </c>
      <c r="J34" s="79">
        <v>0</v>
      </c>
      <c r="K34" s="79">
        <v>0</v>
      </c>
      <c r="L34" s="79">
        <v>0</v>
      </c>
      <c r="M34" s="79">
        <v>0</v>
      </c>
      <c r="N34" s="80">
        <f t="shared" si="0"/>
        <v>1940860</v>
      </c>
      <c r="O34" s="79">
        <v>0</v>
      </c>
      <c r="P34" s="79">
        <v>0</v>
      </c>
      <c r="Q34" s="79">
        <v>0</v>
      </c>
      <c r="R34" s="79">
        <v>17460</v>
      </c>
      <c r="S34" s="79">
        <v>0</v>
      </c>
      <c r="T34" s="79">
        <v>0</v>
      </c>
      <c r="U34" s="79">
        <v>18010</v>
      </c>
      <c r="V34" s="79">
        <v>1800</v>
      </c>
      <c r="W34" s="79">
        <f t="shared" si="1"/>
        <v>37270</v>
      </c>
      <c r="X34" s="81">
        <f t="shared" si="2"/>
        <v>1903590</v>
      </c>
    </row>
    <row r="35" spans="2:24" ht="22.6" customHeight="1" thickBot="1" x14ac:dyDescent="0.35">
      <c r="B35" s="82" t="s">
        <v>98</v>
      </c>
      <c r="C35" s="113" t="s">
        <v>89</v>
      </c>
      <c r="D35" s="91"/>
      <c r="E35" s="84"/>
      <c r="F35" s="85">
        <f t="shared" ref="F35:X35" si="3">SUM(F5:F34)</f>
        <v>143709609</v>
      </c>
      <c r="G35" s="86">
        <f t="shared" si="3"/>
        <v>2000000</v>
      </c>
      <c r="H35" s="86">
        <f t="shared" si="3"/>
        <v>50000</v>
      </c>
      <c r="I35" s="86">
        <f t="shared" si="3"/>
        <v>0</v>
      </c>
      <c r="J35" s="86">
        <f t="shared" si="3"/>
        <v>300000</v>
      </c>
      <c r="K35" s="86">
        <f t="shared" si="3"/>
        <v>0</v>
      </c>
      <c r="L35" s="86">
        <f t="shared" si="3"/>
        <v>0</v>
      </c>
      <c r="M35" s="86">
        <f t="shared" si="3"/>
        <v>6058673</v>
      </c>
      <c r="N35" s="87">
        <f t="shared" si="3"/>
        <v>152118282</v>
      </c>
      <c r="O35" s="88">
        <f t="shared" si="3"/>
        <v>4598250</v>
      </c>
      <c r="P35" s="88">
        <f t="shared" si="3"/>
        <v>4991000</v>
      </c>
      <c r="Q35" s="88">
        <f t="shared" si="3"/>
        <v>73210</v>
      </c>
      <c r="R35" s="88">
        <f t="shared" si="3"/>
        <v>907740</v>
      </c>
      <c r="S35" s="88">
        <f t="shared" si="3"/>
        <v>646260</v>
      </c>
      <c r="T35" s="88">
        <f t="shared" si="3"/>
        <v>0</v>
      </c>
      <c r="U35" s="103">
        <f t="shared" si="3"/>
        <v>19719630</v>
      </c>
      <c r="V35" s="88">
        <f t="shared" si="3"/>
        <v>1971860</v>
      </c>
      <c r="W35" s="88">
        <f t="shared" si="3"/>
        <v>32907950</v>
      </c>
      <c r="X35" s="89">
        <f t="shared" si="3"/>
        <v>119210332</v>
      </c>
    </row>
    <row r="36" spans="2:24" x14ac:dyDescent="0.3">
      <c r="B36" s="43"/>
      <c r="C36" s="43"/>
      <c r="D36" s="43"/>
      <c r="E36" s="43"/>
      <c r="F36" s="90"/>
      <c r="G36" s="90"/>
      <c r="H36" s="90"/>
      <c r="I36" s="90"/>
      <c r="J36" s="90"/>
      <c r="K36" s="90"/>
      <c r="L36" s="90"/>
      <c r="M36" s="90"/>
      <c r="N36" s="58"/>
      <c r="O36" s="90"/>
      <c r="P36" s="90"/>
      <c r="Q36" s="90"/>
      <c r="R36" s="90"/>
      <c r="S36" s="90"/>
      <c r="T36" s="90"/>
      <c r="U36" s="90"/>
      <c r="V36" s="90"/>
      <c r="W36" s="90"/>
      <c r="X36" s="90"/>
    </row>
    <row r="37" spans="2:24" x14ac:dyDescent="0.3"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123"/>
      <c r="O37" s="90"/>
      <c r="P37" s="90"/>
      <c r="Q37" s="90"/>
      <c r="R37" s="90"/>
      <c r="S37" s="90"/>
      <c r="T37" s="90"/>
      <c r="U37" s="90"/>
      <c r="V37" s="90"/>
      <c r="W37" s="90"/>
      <c r="X37" s="90"/>
    </row>
    <row r="38" spans="2:24" x14ac:dyDescent="0.3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65"/>
      <c r="O38" s="90"/>
      <c r="P38" s="90"/>
      <c r="Q38" s="90"/>
      <c r="R38" s="90"/>
      <c r="S38" s="90"/>
      <c r="T38" s="90"/>
      <c r="U38" s="90"/>
      <c r="V38" s="90"/>
      <c r="W38" s="90"/>
      <c r="X38" s="90"/>
    </row>
    <row r="39" spans="2:24" x14ac:dyDescent="0.3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90"/>
      <c r="P39" s="90"/>
      <c r="Q39" s="90"/>
      <c r="R39" s="90"/>
      <c r="S39" s="90"/>
      <c r="T39" s="90"/>
      <c r="U39" s="90"/>
      <c r="V39" s="90"/>
      <c r="W39" s="90"/>
      <c r="X39" s="90"/>
    </row>
  </sheetData>
  <autoFilter ref="B4:X36" xr:uid="{1EF1054E-61E7-4E44-8B3C-FF5D065C307D}"/>
  <phoneticPr fontId="2" type="noConversion"/>
  <pageMargins left="0.36" right="0.11811023622047245" top="0.74803149606299213" bottom="0.74803149606299213" header="0.31496062992125984" footer="0.31496062992125984"/>
  <pageSetup paperSize="9" scale="5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18376-F319-430F-B118-B54326072FB4}">
  <dimension ref="B1:M38"/>
  <sheetViews>
    <sheetView showGridLines="0" zoomScale="80" zoomScaleNormal="80" workbookViewId="0"/>
  </sheetViews>
  <sheetFormatPr defaultColWidth="9.08984375" defaultRowHeight="13.45" x14ac:dyDescent="0.3"/>
  <cols>
    <col min="1" max="1" width="2" style="42" customWidth="1"/>
    <col min="2" max="2" width="13.54296875" style="42" bestFit="1" customWidth="1"/>
    <col min="3" max="3" width="19.36328125" style="42" bestFit="1" customWidth="1"/>
    <col min="4" max="4" width="19.36328125" style="42" customWidth="1"/>
    <col min="5" max="5" width="12.6328125" style="42" bestFit="1" customWidth="1"/>
    <col min="6" max="6" width="13.6328125" style="42" customWidth="1"/>
    <col min="7" max="7" width="14.6328125" style="42" customWidth="1"/>
    <col min="8" max="8" width="14.1796875" style="42" customWidth="1"/>
    <col min="9" max="9" width="20.453125" style="42" customWidth="1"/>
    <col min="10" max="10" width="14.6328125" style="42" customWidth="1"/>
    <col min="11" max="11" width="13.81640625" style="42" customWidth="1"/>
    <col min="12" max="12" width="20.1796875" style="42" customWidth="1"/>
    <col min="13" max="16384" width="9.08984375" style="42"/>
  </cols>
  <sheetData>
    <row r="1" spans="2:12" ht="9.8000000000000007" customHeight="1" x14ac:dyDescent="0.3"/>
    <row r="2" spans="2:12" s="135" customFormat="1" ht="26.35" customHeight="1" x14ac:dyDescent="0.4">
      <c r="B2" s="133" t="s">
        <v>102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</row>
    <row r="3" spans="2:12" ht="20.3" customHeight="1" thickBot="1" x14ac:dyDescent="0.35">
      <c r="B3" s="43"/>
      <c r="C3" s="43"/>
      <c r="D3" s="43"/>
      <c r="E3" s="43"/>
      <c r="F3" s="43"/>
      <c r="G3" s="43"/>
      <c r="H3" s="43"/>
      <c r="I3" s="43"/>
      <c r="J3" s="43"/>
      <c r="K3" s="43"/>
      <c r="L3" s="44" t="s">
        <v>83</v>
      </c>
    </row>
    <row r="4" spans="2:12" s="51" customFormat="1" ht="54.3" thickBot="1" x14ac:dyDescent="0.35">
      <c r="B4" s="45" t="s">
        <v>59</v>
      </c>
      <c r="C4" s="46" t="s">
        <v>60</v>
      </c>
      <c r="D4" s="124" t="s">
        <v>61</v>
      </c>
      <c r="E4" s="47" t="s">
        <v>62</v>
      </c>
      <c r="F4" s="48" t="s">
        <v>91</v>
      </c>
      <c r="G4" s="47" t="s">
        <v>71</v>
      </c>
      <c r="H4" s="110" t="s">
        <v>75</v>
      </c>
      <c r="I4" s="50" t="s">
        <v>78</v>
      </c>
      <c r="J4" s="110" t="s">
        <v>92</v>
      </c>
      <c r="K4" s="49" t="s">
        <v>81</v>
      </c>
      <c r="L4" s="47" t="s">
        <v>93</v>
      </c>
    </row>
    <row r="5" spans="2:12" ht="23.1" customHeight="1" x14ac:dyDescent="0.3">
      <c r="B5" s="52" t="s">
        <v>1</v>
      </c>
      <c r="C5" s="53" t="s">
        <v>0</v>
      </c>
      <c r="D5" s="53" t="str">
        <f>C5</f>
        <v>Shin Jonghoon Bryan</v>
      </c>
      <c r="E5" s="53" t="s">
        <v>85</v>
      </c>
      <c r="F5" s="54">
        <v>300000</v>
      </c>
      <c r="G5" s="55">
        <f t="shared" ref="G5:G24" si="0">SUM(F5:F5)</f>
        <v>300000</v>
      </c>
      <c r="H5" s="54">
        <v>0</v>
      </c>
      <c r="I5" s="54">
        <v>0</v>
      </c>
      <c r="J5" s="54">
        <v>0</v>
      </c>
      <c r="K5" s="56">
        <v>0</v>
      </c>
      <c r="L5" s="64">
        <f t="shared" ref="L5:L33" si="1">G5-K5</f>
        <v>300000</v>
      </c>
    </row>
    <row r="6" spans="2:12" ht="23.1" customHeight="1" x14ac:dyDescent="0.3">
      <c r="B6" s="59" t="s">
        <v>8</v>
      </c>
      <c r="C6" s="60" t="s">
        <v>121</v>
      </c>
      <c r="D6" s="60" t="s">
        <v>29</v>
      </c>
      <c r="E6" s="60" t="s">
        <v>85</v>
      </c>
      <c r="F6" s="61">
        <v>300000</v>
      </c>
      <c r="G6" s="62">
        <f>SUM(F6:F6)</f>
        <v>300000</v>
      </c>
      <c r="H6" s="61">
        <v>0</v>
      </c>
      <c r="I6" s="61">
        <v>0</v>
      </c>
      <c r="J6" s="61">
        <v>0</v>
      </c>
      <c r="K6" s="63">
        <v>0</v>
      </c>
      <c r="L6" s="64">
        <f t="shared" si="1"/>
        <v>300000</v>
      </c>
    </row>
    <row r="7" spans="2:12" ht="23.1" customHeight="1" x14ac:dyDescent="0.3">
      <c r="B7" s="59" t="s">
        <v>15</v>
      </c>
      <c r="C7" s="60" t="s">
        <v>114</v>
      </c>
      <c r="D7" s="60" t="s">
        <v>22</v>
      </c>
      <c r="E7" s="60" t="s">
        <v>86</v>
      </c>
      <c r="F7" s="61">
        <v>0</v>
      </c>
      <c r="G7" s="62">
        <f t="shared" si="0"/>
        <v>0</v>
      </c>
      <c r="H7" s="61">
        <v>0</v>
      </c>
      <c r="I7" s="61">
        <v>0</v>
      </c>
      <c r="J7" s="61">
        <v>0</v>
      </c>
      <c r="K7" s="63">
        <v>0</v>
      </c>
      <c r="L7" s="64">
        <f t="shared" si="1"/>
        <v>0</v>
      </c>
    </row>
    <row r="8" spans="2:12" ht="23.1" customHeight="1" x14ac:dyDescent="0.3">
      <c r="B8" s="59" t="s">
        <v>2</v>
      </c>
      <c r="C8" s="60" t="s">
        <v>115</v>
      </c>
      <c r="D8" s="60" t="s">
        <v>23</v>
      </c>
      <c r="E8" s="60" t="s">
        <v>86</v>
      </c>
      <c r="F8" s="61">
        <v>300000</v>
      </c>
      <c r="G8" s="62">
        <f t="shared" si="0"/>
        <v>300000</v>
      </c>
      <c r="H8" s="61">
        <v>0</v>
      </c>
      <c r="I8" s="61">
        <v>0</v>
      </c>
      <c r="J8" s="61">
        <v>0</v>
      </c>
      <c r="K8" s="63">
        <v>0</v>
      </c>
      <c r="L8" s="64">
        <f t="shared" si="1"/>
        <v>300000</v>
      </c>
    </row>
    <row r="9" spans="2:12" ht="23.1" customHeight="1" x14ac:dyDescent="0.3">
      <c r="B9" s="59" t="s">
        <v>3</v>
      </c>
      <c r="C9" s="60" t="s">
        <v>116</v>
      </c>
      <c r="D9" s="60" t="s">
        <v>24</v>
      </c>
      <c r="E9" s="60" t="s">
        <v>84</v>
      </c>
      <c r="F9" s="61">
        <v>300000</v>
      </c>
      <c r="G9" s="62">
        <f t="shared" si="0"/>
        <v>300000</v>
      </c>
      <c r="H9" s="61">
        <v>0</v>
      </c>
      <c r="I9" s="61">
        <v>0</v>
      </c>
      <c r="J9" s="61">
        <v>0</v>
      </c>
      <c r="K9" s="63">
        <v>0</v>
      </c>
      <c r="L9" s="64">
        <f t="shared" si="1"/>
        <v>300000</v>
      </c>
    </row>
    <row r="10" spans="2:12" ht="23.1" customHeight="1" x14ac:dyDescent="0.3">
      <c r="B10" s="59" t="s">
        <v>4</v>
      </c>
      <c r="C10" s="60" t="s">
        <v>117</v>
      </c>
      <c r="D10" s="60" t="s">
        <v>25</v>
      </c>
      <c r="E10" s="60" t="s">
        <v>84</v>
      </c>
      <c r="F10" s="61">
        <v>0</v>
      </c>
      <c r="G10" s="62">
        <f t="shared" si="0"/>
        <v>0</v>
      </c>
      <c r="H10" s="61">
        <v>0</v>
      </c>
      <c r="I10" s="61">
        <v>0</v>
      </c>
      <c r="J10" s="61">
        <v>0</v>
      </c>
      <c r="K10" s="63">
        <v>0</v>
      </c>
      <c r="L10" s="64">
        <f t="shared" si="1"/>
        <v>0</v>
      </c>
    </row>
    <row r="11" spans="2:12" ht="23.1" customHeight="1" x14ac:dyDescent="0.3">
      <c r="B11" s="59" t="s">
        <v>5</v>
      </c>
      <c r="C11" s="60" t="s">
        <v>118</v>
      </c>
      <c r="D11" s="60" t="s">
        <v>26</v>
      </c>
      <c r="E11" s="60" t="s">
        <v>86</v>
      </c>
      <c r="F11" s="61">
        <v>300000</v>
      </c>
      <c r="G11" s="62">
        <f t="shared" si="0"/>
        <v>300000</v>
      </c>
      <c r="H11" s="61">
        <v>0</v>
      </c>
      <c r="I11" s="61">
        <v>0</v>
      </c>
      <c r="J11" s="61">
        <v>0</v>
      </c>
      <c r="K11" s="63">
        <v>0</v>
      </c>
      <c r="L11" s="64">
        <f t="shared" si="1"/>
        <v>300000</v>
      </c>
    </row>
    <row r="12" spans="2:12" ht="23.1" customHeight="1" x14ac:dyDescent="0.3">
      <c r="B12" s="59" t="s">
        <v>6</v>
      </c>
      <c r="C12" s="60" t="s">
        <v>119</v>
      </c>
      <c r="D12" s="60" t="s">
        <v>27</v>
      </c>
      <c r="E12" s="60" t="s">
        <v>86</v>
      </c>
      <c r="F12" s="61">
        <v>0</v>
      </c>
      <c r="G12" s="62">
        <f t="shared" si="0"/>
        <v>0</v>
      </c>
      <c r="H12" s="61">
        <v>0</v>
      </c>
      <c r="I12" s="61">
        <v>0</v>
      </c>
      <c r="J12" s="61">
        <v>0</v>
      </c>
      <c r="K12" s="63">
        <v>0</v>
      </c>
      <c r="L12" s="64">
        <f t="shared" si="1"/>
        <v>0</v>
      </c>
    </row>
    <row r="13" spans="2:12" ht="23.1" customHeight="1" x14ac:dyDescent="0.3">
      <c r="B13" s="59" t="s">
        <v>7</v>
      </c>
      <c r="C13" s="60" t="s">
        <v>120</v>
      </c>
      <c r="D13" s="60" t="s">
        <v>28</v>
      </c>
      <c r="E13" s="60" t="s">
        <v>84</v>
      </c>
      <c r="F13" s="61">
        <v>300000</v>
      </c>
      <c r="G13" s="62">
        <f t="shared" si="0"/>
        <v>300000</v>
      </c>
      <c r="H13" s="61">
        <v>0</v>
      </c>
      <c r="I13" s="61">
        <v>0</v>
      </c>
      <c r="J13" s="61">
        <v>0</v>
      </c>
      <c r="K13" s="63">
        <v>0</v>
      </c>
      <c r="L13" s="64">
        <f t="shared" si="1"/>
        <v>300000</v>
      </c>
    </row>
    <row r="14" spans="2:12" ht="23.1" customHeight="1" x14ac:dyDescent="0.3">
      <c r="B14" s="59" t="s">
        <v>9</v>
      </c>
      <c r="C14" s="60" t="s">
        <v>122</v>
      </c>
      <c r="D14" s="60" t="s">
        <v>30</v>
      </c>
      <c r="E14" s="60" t="s">
        <v>87</v>
      </c>
      <c r="F14" s="61">
        <v>300000</v>
      </c>
      <c r="G14" s="62">
        <f t="shared" si="0"/>
        <v>300000</v>
      </c>
      <c r="H14" s="61">
        <v>0</v>
      </c>
      <c r="I14" s="61">
        <v>0</v>
      </c>
      <c r="J14" s="61">
        <v>0</v>
      </c>
      <c r="K14" s="63">
        <v>0</v>
      </c>
      <c r="L14" s="64">
        <f t="shared" si="1"/>
        <v>300000</v>
      </c>
    </row>
    <row r="15" spans="2:12" ht="23.1" customHeight="1" x14ac:dyDescent="0.3">
      <c r="B15" s="59" t="s">
        <v>10</v>
      </c>
      <c r="C15" s="60" t="s">
        <v>123</v>
      </c>
      <c r="D15" s="60" t="s">
        <v>31</v>
      </c>
      <c r="E15" s="60" t="s">
        <v>86</v>
      </c>
      <c r="F15" s="61">
        <v>300000</v>
      </c>
      <c r="G15" s="62">
        <f t="shared" si="0"/>
        <v>300000</v>
      </c>
      <c r="H15" s="61">
        <v>0</v>
      </c>
      <c r="I15" s="61">
        <v>0</v>
      </c>
      <c r="J15" s="61">
        <v>0</v>
      </c>
      <c r="K15" s="63">
        <v>0</v>
      </c>
      <c r="L15" s="64">
        <f t="shared" si="1"/>
        <v>300000</v>
      </c>
    </row>
    <row r="16" spans="2:12" ht="23.1" customHeight="1" x14ac:dyDescent="0.3">
      <c r="B16" s="59" t="s">
        <v>49</v>
      </c>
      <c r="C16" s="60" t="s">
        <v>124</v>
      </c>
      <c r="D16" s="60" t="s">
        <v>32</v>
      </c>
      <c r="E16" s="60" t="s">
        <v>86</v>
      </c>
      <c r="F16" s="61">
        <v>300000</v>
      </c>
      <c r="G16" s="62">
        <f t="shared" si="0"/>
        <v>300000</v>
      </c>
      <c r="H16" s="61">
        <v>0</v>
      </c>
      <c r="I16" s="61">
        <v>0</v>
      </c>
      <c r="J16" s="61">
        <v>0</v>
      </c>
      <c r="K16" s="63">
        <v>0</v>
      </c>
      <c r="L16" s="64">
        <f t="shared" si="1"/>
        <v>300000</v>
      </c>
    </row>
    <row r="17" spans="2:13" ht="23.1" customHeight="1" x14ac:dyDescent="0.3">
      <c r="B17" s="59" t="s">
        <v>11</v>
      </c>
      <c r="C17" s="60" t="s">
        <v>125</v>
      </c>
      <c r="D17" s="60" t="s">
        <v>33</v>
      </c>
      <c r="E17" s="60" t="s">
        <v>87</v>
      </c>
      <c r="F17" s="61">
        <v>300000</v>
      </c>
      <c r="G17" s="62">
        <f t="shared" si="0"/>
        <v>300000</v>
      </c>
      <c r="H17" s="61">
        <v>0</v>
      </c>
      <c r="I17" s="61">
        <v>0</v>
      </c>
      <c r="J17" s="61">
        <v>0</v>
      </c>
      <c r="K17" s="63">
        <v>0</v>
      </c>
      <c r="L17" s="64">
        <f t="shared" si="1"/>
        <v>300000</v>
      </c>
    </row>
    <row r="18" spans="2:13" ht="23.1" customHeight="1" x14ac:dyDescent="0.3">
      <c r="B18" s="59" t="s">
        <v>12</v>
      </c>
      <c r="C18" s="60" t="s">
        <v>126</v>
      </c>
      <c r="D18" s="60" t="s">
        <v>34</v>
      </c>
      <c r="E18" s="60" t="s">
        <v>87</v>
      </c>
      <c r="F18" s="61">
        <v>300000</v>
      </c>
      <c r="G18" s="62">
        <f t="shared" si="0"/>
        <v>300000</v>
      </c>
      <c r="H18" s="61">
        <v>0</v>
      </c>
      <c r="I18" s="61">
        <v>0</v>
      </c>
      <c r="J18" s="61">
        <v>0</v>
      </c>
      <c r="K18" s="63">
        <v>0</v>
      </c>
      <c r="L18" s="64">
        <f t="shared" si="1"/>
        <v>300000</v>
      </c>
      <c r="M18" s="129"/>
    </row>
    <row r="19" spans="2:13" ht="23.1" customHeight="1" x14ac:dyDescent="0.3">
      <c r="B19" s="59" t="s">
        <v>13</v>
      </c>
      <c r="C19" s="60" t="s">
        <v>127</v>
      </c>
      <c r="D19" s="60" t="s">
        <v>35</v>
      </c>
      <c r="E19" s="60" t="s">
        <v>87</v>
      </c>
      <c r="F19" s="61">
        <v>300000</v>
      </c>
      <c r="G19" s="62">
        <f t="shared" si="0"/>
        <v>300000</v>
      </c>
      <c r="H19" s="61">
        <v>0</v>
      </c>
      <c r="I19" s="61">
        <v>0</v>
      </c>
      <c r="J19" s="61">
        <v>0</v>
      </c>
      <c r="K19" s="63">
        <v>0</v>
      </c>
      <c r="L19" s="64">
        <f t="shared" si="1"/>
        <v>300000</v>
      </c>
      <c r="M19" s="129"/>
    </row>
    <row r="20" spans="2:13" ht="23.1" customHeight="1" x14ac:dyDescent="0.3">
      <c r="B20" s="59" t="s">
        <v>14</v>
      </c>
      <c r="C20" s="60" t="s">
        <v>128</v>
      </c>
      <c r="D20" s="60" t="s">
        <v>36</v>
      </c>
      <c r="E20" s="60" t="s">
        <v>87</v>
      </c>
      <c r="F20" s="61">
        <v>300000</v>
      </c>
      <c r="G20" s="62">
        <f t="shared" si="0"/>
        <v>300000</v>
      </c>
      <c r="H20" s="61">
        <v>0</v>
      </c>
      <c r="I20" s="61">
        <v>0</v>
      </c>
      <c r="J20" s="61">
        <v>0</v>
      </c>
      <c r="K20" s="63">
        <v>0</v>
      </c>
      <c r="L20" s="64">
        <f t="shared" si="1"/>
        <v>300000</v>
      </c>
      <c r="M20" s="129"/>
    </row>
    <row r="21" spans="2:13" ht="23.1" customHeight="1" x14ac:dyDescent="0.3">
      <c r="B21" s="59" t="s">
        <v>16</v>
      </c>
      <c r="C21" s="60" t="s">
        <v>129</v>
      </c>
      <c r="D21" s="60" t="s">
        <v>37</v>
      </c>
      <c r="E21" s="60" t="s">
        <v>86</v>
      </c>
      <c r="F21" s="61">
        <v>300000</v>
      </c>
      <c r="G21" s="62">
        <f t="shared" si="0"/>
        <v>300000</v>
      </c>
      <c r="H21" s="61">
        <v>0</v>
      </c>
      <c r="I21" s="61">
        <v>0</v>
      </c>
      <c r="J21" s="61">
        <v>0</v>
      </c>
      <c r="K21" s="63">
        <v>0</v>
      </c>
      <c r="L21" s="64">
        <f t="shared" si="1"/>
        <v>300000</v>
      </c>
      <c r="M21" s="129"/>
    </row>
    <row r="22" spans="2:13" ht="23.1" customHeight="1" x14ac:dyDescent="0.3">
      <c r="B22" s="66">
        <v>44879</v>
      </c>
      <c r="C22" s="76" t="s">
        <v>130</v>
      </c>
      <c r="D22" s="76" t="s">
        <v>38</v>
      </c>
      <c r="E22" s="76" t="s">
        <v>86</v>
      </c>
      <c r="F22" s="61">
        <v>300000</v>
      </c>
      <c r="G22" s="77">
        <f t="shared" si="0"/>
        <v>300000</v>
      </c>
      <c r="H22" s="61">
        <v>0</v>
      </c>
      <c r="I22" s="61">
        <v>0</v>
      </c>
      <c r="J22" s="61">
        <v>0</v>
      </c>
      <c r="K22" s="63">
        <v>0</v>
      </c>
      <c r="L22" s="64">
        <f t="shared" si="1"/>
        <v>300000</v>
      </c>
      <c r="M22" s="129"/>
    </row>
    <row r="23" spans="2:13" ht="23.1" customHeight="1" x14ac:dyDescent="0.3">
      <c r="B23" s="66">
        <v>44923</v>
      </c>
      <c r="C23" s="76" t="s">
        <v>131</v>
      </c>
      <c r="D23" s="76" t="s">
        <v>39</v>
      </c>
      <c r="E23" s="76" t="s">
        <v>86</v>
      </c>
      <c r="F23" s="61">
        <v>300000</v>
      </c>
      <c r="G23" s="77">
        <f t="shared" si="0"/>
        <v>300000</v>
      </c>
      <c r="H23" s="61">
        <v>0</v>
      </c>
      <c r="I23" s="61">
        <v>0</v>
      </c>
      <c r="J23" s="61">
        <v>0</v>
      </c>
      <c r="K23" s="61">
        <v>0</v>
      </c>
      <c r="L23" s="64">
        <f t="shared" si="1"/>
        <v>300000</v>
      </c>
      <c r="M23" s="129"/>
    </row>
    <row r="24" spans="2:13" ht="23.1" customHeight="1" x14ac:dyDescent="0.3">
      <c r="B24" s="66">
        <v>45034</v>
      </c>
      <c r="C24" s="76" t="s">
        <v>132</v>
      </c>
      <c r="D24" s="76" t="s">
        <v>40</v>
      </c>
      <c r="E24" s="76" t="s">
        <v>87</v>
      </c>
      <c r="F24" s="61">
        <v>300000</v>
      </c>
      <c r="G24" s="77">
        <f t="shared" si="0"/>
        <v>300000</v>
      </c>
      <c r="H24" s="61">
        <v>0</v>
      </c>
      <c r="I24" s="61">
        <v>0</v>
      </c>
      <c r="J24" s="61">
        <v>0</v>
      </c>
      <c r="K24" s="61">
        <v>0</v>
      </c>
      <c r="L24" s="64">
        <f t="shared" si="1"/>
        <v>300000</v>
      </c>
      <c r="M24" s="129"/>
    </row>
    <row r="25" spans="2:13" ht="23.1" customHeight="1" x14ac:dyDescent="0.3">
      <c r="B25" s="66">
        <v>45212</v>
      </c>
      <c r="C25" s="76" t="s">
        <v>133</v>
      </c>
      <c r="D25" s="76" t="s">
        <v>41</v>
      </c>
      <c r="E25" s="76" t="s">
        <v>87</v>
      </c>
      <c r="F25" s="61">
        <v>300000</v>
      </c>
      <c r="G25" s="77">
        <f>SUM(F25:F25)</f>
        <v>300000</v>
      </c>
      <c r="H25" s="61">
        <v>0</v>
      </c>
      <c r="I25" s="61">
        <v>0</v>
      </c>
      <c r="J25" s="61">
        <v>0</v>
      </c>
      <c r="K25" s="61">
        <v>0</v>
      </c>
      <c r="L25" s="64">
        <f t="shared" si="1"/>
        <v>300000</v>
      </c>
      <c r="M25" s="129"/>
    </row>
    <row r="26" spans="2:13" ht="23.1" customHeight="1" x14ac:dyDescent="0.3">
      <c r="B26" s="66">
        <v>45366</v>
      </c>
      <c r="C26" s="76" t="s">
        <v>50</v>
      </c>
      <c r="D26" s="76" t="s">
        <v>42</v>
      </c>
      <c r="E26" s="76" t="s">
        <v>86</v>
      </c>
      <c r="F26" s="61">
        <v>300000</v>
      </c>
      <c r="G26" s="77">
        <f>SUM(F26:F26)</f>
        <v>300000</v>
      </c>
      <c r="H26" s="61">
        <v>0</v>
      </c>
      <c r="I26" s="61">
        <v>0</v>
      </c>
      <c r="J26" s="61">
        <v>0</v>
      </c>
      <c r="K26" s="61">
        <v>0</v>
      </c>
      <c r="L26" s="64">
        <f t="shared" si="1"/>
        <v>300000</v>
      </c>
      <c r="M26" s="129"/>
    </row>
    <row r="27" spans="2:13" ht="23.1" customHeight="1" x14ac:dyDescent="0.3">
      <c r="B27" s="73">
        <v>45366</v>
      </c>
      <c r="C27" s="74" t="s">
        <v>51</v>
      </c>
      <c r="D27" s="74" t="s">
        <v>43</v>
      </c>
      <c r="E27" s="74" t="s">
        <v>86</v>
      </c>
      <c r="F27" s="69">
        <v>300000</v>
      </c>
      <c r="G27" s="75">
        <f t="shared" ref="G27:G33" si="2">SUM(F27:F27)</f>
        <v>300000</v>
      </c>
      <c r="H27" s="69">
        <v>0</v>
      </c>
      <c r="I27" s="69">
        <v>0</v>
      </c>
      <c r="J27" s="69">
        <v>0</v>
      </c>
      <c r="K27" s="69">
        <v>0</v>
      </c>
      <c r="L27" s="72">
        <f t="shared" si="1"/>
        <v>300000</v>
      </c>
      <c r="M27" s="129"/>
    </row>
    <row r="28" spans="2:13" ht="23.1" customHeight="1" x14ac:dyDescent="0.3">
      <c r="B28" s="66">
        <v>45554</v>
      </c>
      <c r="C28" s="76" t="s">
        <v>17</v>
      </c>
      <c r="D28" s="76" t="s">
        <v>44</v>
      </c>
      <c r="E28" s="76" t="s">
        <v>87</v>
      </c>
      <c r="F28" s="61">
        <v>300000</v>
      </c>
      <c r="G28" s="77">
        <f t="shared" si="2"/>
        <v>300000</v>
      </c>
      <c r="H28" s="63">
        <v>0</v>
      </c>
      <c r="I28" s="63">
        <v>0</v>
      </c>
      <c r="J28" s="63">
        <v>0</v>
      </c>
      <c r="K28" s="63">
        <v>0</v>
      </c>
      <c r="L28" s="92">
        <f t="shared" si="1"/>
        <v>300000</v>
      </c>
      <c r="M28" s="129"/>
    </row>
    <row r="29" spans="2:13" ht="23.1" customHeight="1" x14ac:dyDescent="0.3">
      <c r="B29" s="66">
        <v>45593</v>
      </c>
      <c r="C29" s="76" t="s">
        <v>18</v>
      </c>
      <c r="D29" s="76" t="s">
        <v>45</v>
      </c>
      <c r="E29" s="76" t="s">
        <v>87</v>
      </c>
      <c r="F29" s="61">
        <v>300000</v>
      </c>
      <c r="G29" s="77">
        <f t="shared" si="2"/>
        <v>300000</v>
      </c>
      <c r="H29" s="63">
        <v>0</v>
      </c>
      <c r="I29" s="63">
        <v>0</v>
      </c>
      <c r="J29" s="63">
        <v>0</v>
      </c>
      <c r="K29" s="63">
        <v>0</v>
      </c>
      <c r="L29" s="92">
        <f t="shared" si="1"/>
        <v>300000</v>
      </c>
      <c r="M29" s="129"/>
    </row>
    <row r="30" spans="2:13" ht="23.1" customHeight="1" x14ac:dyDescent="0.3">
      <c r="B30" s="66">
        <v>45627</v>
      </c>
      <c r="C30" s="76" t="s">
        <v>19</v>
      </c>
      <c r="D30" s="76" t="s">
        <v>46</v>
      </c>
      <c r="E30" s="76" t="s">
        <v>86</v>
      </c>
      <c r="F30" s="61">
        <v>300000</v>
      </c>
      <c r="G30" s="77">
        <f>SUM(F30:F30)</f>
        <v>300000</v>
      </c>
      <c r="H30" s="63">
        <v>0</v>
      </c>
      <c r="I30" s="63">
        <v>0</v>
      </c>
      <c r="J30" s="63">
        <v>0</v>
      </c>
      <c r="K30" s="63">
        <v>0</v>
      </c>
      <c r="L30" s="92">
        <f t="shared" si="1"/>
        <v>300000</v>
      </c>
      <c r="M30" s="129"/>
    </row>
    <row r="31" spans="2:13" ht="23.1" customHeight="1" x14ac:dyDescent="0.3">
      <c r="B31" s="73">
        <v>45656</v>
      </c>
      <c r="C31" s="74" t="s">
        <v>20</v>
      </c>
      <c r="D31" s="74" t="s">
        <v>47</v>
      </c>
      <c r="E31" s="74" t="s">
        <v>84</v>
      </c>
      <c r="F31" s="69">
        <v>300000</v>
      </c>
      <c r="G31" s="75">
        <f>SUM(F31:F31)</f>
        <v>300000</v>
      </c>
      <c r="H31" s="71">
        <v>0</v>
      </c>
      <c r="I31" s="71">
        <v>0</v>
      </c>
      <c r="J31" s="71">
        <v>0</v>
      </c>
      <c r="K31" s="71">
        <v>0</v>
      </c>
      <c r="L31" s="93">
        <f t="shared" si="1"/>
        <v>300000</v>
      </c>
      <c r="M31" s="129"/>
    </row>
    <row r="32" spans="2:13" ht="23.1" customHeight="1" x14ac:dyDescent="0.3">
      <c r="B32" s="73">
        <v>45761</v>
      </c>
      <c r="C32" s="74" t="s">
        <v>52</v>
      </c>
      <c r="D32" s="74" t="s">
        <v>53</v>
      </c>
      <c r="E32" s="74" t="s">
        <v>86</v>
      </c>
      <c r="F32" s="69">
        <v>300000</v>
      </c>
      <c r="G32" s="75">
        <f>SUM(F32:F32)</f>
        <v>300000</v>
      </c>
      <c r="H32" s="71">
        <v>0</v>
      </c>
      <c r="I32" s="71">
        <v>0</v>
      </c>
      <c r="J32" s="71">
        <v>0</v>
      </c>
      <c r="K32" s="71">
        <v>0</v>
      </c>
      <c r="L32" s="93">
        <f t="shared" si="1"/>
        <v>300000</v>
      </c>
      <c r="M32" s="129"/>
    </row>
    <row r="33" spans="2:13" ht="23.1" customHeight="1" thickBot="1" x14ac:dyDescent="0.35">
      <c r="B33" s="78">
        <v>45839</v>
      </c>
      <c r="C33" s="128" t="s">
        <v>58</v>
      </c>
      <c r="D33" s="128" t="s">
        <v>55</v>
      </c>
      <c r="E33" s="128" t="s">
        <v>84</v>
      </c>
      <c r="F33" s="79">
        <v>300000</v>
      </c>
      <c r="G33" s="80">
        <f t="shared" si="2"/>
        <v>300000</v>
      </c>
      <c r="H33" s="94">
        <v>0</v>
      </c>
      <c r="I33" s="94">
        <v>0</v>
      </c>
      <c r="J33" s="94">
        <v>0</v>
      </c>
      <c r="K33" s="94">
        <v>0</v>
      </c>
      <c r="L33" s="95">
        <f t="shared" si="1"/>
        <v>300000</v>
      </c>
      <c r="M33" s="129"/>
    </row>
    <row r="34" spans="2:13" ht="22.6" customHeight="1" thickBot="1" x14ac:dyDescent="0.35">
      <c r="B34" s="82" t="s">
        <v>99</v>
      </c>
      <c r="C34" s="83" t="s">
        <v>89</v>
      </c>
      <c r="D34" s="91"/>
      <c r="E34" s="84"/>
      <c r="F34" s="85">
        <f t="shared" ref="F34:L34" si="3">SUM(F5:F33)</f>
        <v>7800000</v>
      </c>
      <c r="G34" s="87">
        <f t="shared" si="3"/>
        <v>7800000</v>
      </c>
      <c r="H34" s="88">
        <f t="shared" si="3"/>
        <v>0</v>
      </c>
      <c r="I34" s="88">
        <f t="shared" si="3"/>
        <v>0</v>
      </c>
      <c r="J34" s="88">
        <f t="shared" si="3"/>
        <v>0</v>
      </c>
      <c r="K34" s="88">
        <f t="shared" si="3"/>
        <v>0</v>
      </c>
      <c r="L34" s="89">
        <f t="shared" si="3"/>
        <v>7800000</v>
      </c>
    </row>
    <row r="35" spans="2:13" x14ac:dyDescent="0.3">
      <c r="B35" s="43"/>
      <c r="C35" s="43"/>
      <c r="D35" s="43"/>
      <c r="E35" s="43"/>
      <c r="F35" s="90"/>
      <c r="G35" s="43"/>
      <c r="H35" s="90"/>
      <c r="I35" s="90"/>
      <c r="J35" s="90"/>
      <c r="K35" s="90"/>
      <c r="L35" s="90"/>
    </row>
    <row r="36" spans="2:13" x14ac:dyDescent="0.3">
      <c r="B36" s="43"/>
      <c r="C36" s="43"/>
      <c r="D36" s="43"/>
      <c r="E36" s="43"/>
      <c r="F36" s="43"/>
      <c r="G36" s="43"/>
      <c r="H36" s="90"/>
      <c r="I36" s="90"/>
      <c r="J36" s="90"/>
      <c r="K36" s="90"/>
      <c r="L36" s="90"/>
    </row>
    <row r="37" spans="2:13" x14ac:dyDescent="0.3">
      <c r="B37" s="43"/>
      <c r="C37" s="43"/>
      <c r="D37" s="43"/>
      <c r="E37" s="43"/>
      <c r="F37" s="43"/>
      <c r="G37" s="43"/>
      <c r="H37" s="90"/>
      <c r="I37" s="90"/>
      <c r="J37" s="90"/>
      <c r="K37" s="90"/>
      <c r="L37" s="90"/>
    </row>
    <row r="38" spans="2:13" x14ac:dyDescent="0.3">
      <c r="B38" s="43"/>
      <c r="C38" s="43"/>
      <c r="D38" s="43"/>
      <c r="E38" s="43"/>
      <c r="F38" s="43"/>
      <c r="G38" s="43"/>
      <c r="H38" s="90"/>
      <c r="I38" s="90"/>
      <c r="J38" s="90"/>
      <c r="K38" s="90"/>
      <c r="L38" s="90"/>
    </row>
  </sheetData>
  <autoFilter ref="B4:L35" xr:uid="{3A3F4D0D-8CBA-4D4D-BE19-219A77FD638D}"/>
  <phoneticPr fontId="2" type="noConversion"/>
  <pageMargins left="0.36" right="0.11811023622047245" top="0.74803149606299213" bottom="0.74803149606299213" header="0.31496062992125984" footer="0.31496062992125984"/>
  <pageSetup paperSize="9" scale="5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298C5-2BD1-4EE9-ACDA-559FE8623127}">
  <dimension ref="B1:Y39"/>
  <sheetViews>
    <sheetView showGridLines="0" zoomScale="80" zoomScaleNormal="80" workbookViewId="0"/>
  </sheetViews>
  <sheetFormatPr defaultColWidth="9.08984375" defaultRowHeight="13.45" x14ac:dyDescent="0.3"/>
  <cols>
    <col min="1" max="1" width="2" style="42" customWidth="1"/>
    <col min="2" max="2" width="13.54296875" style="42" bestFit="1" customWidth="1"/>
    <col min="3" max="4" width="19" style="42" bestFit="1" customWidth="1"/>
    <col min="5" max="5" width="14.6328125" style="42" bestFit="1" customWidth="1"/>
    <col min="6" max="7" width="13.6328125" style="42" customWidth="1"/>
    <col min="8" max="8" width="23" style="42" customWidth="1"/>
    <col min="9" max="9" width="16.6328125" style="42" bestFit="1" customWidth="1"/>
    <col min="10" max="12" width="14.81640625" style="42" customWidth="1"/>
    <col min="13" max="13" width="15.1796875" style="42" bestFit="1" customWidth="1"/>
    <col min="14" max="15" width="15.1796875" style="42" customWidth="1"/>
    <col min="16" max="16" width="11.54296875" style="42" customWidth="1"/>
    <col min="17" max="17" width="11.453125" style="42" customWidth="1"/>
    <col min="18" max="18" width="19.1796875" style="42" customWidth="1"/>
    <col min="19" max="19" width="11.08984375" style="42" customWidth="1"/>
    <col min="20" max="20" width="15.453125" style="42" customWidth="1"/>
    <col min="21" max="21" width="15.1796875" style="42" bestFit="1" customWidth="1"/>
    <col min="22" max="22" width="12.1796875" style="42" customWidth="1"/>
    <col min="23" max="23" width="12.453125" style="42" customWidth="1"/>
    <col min="24" max="24" width="18.453125" style="42" customWidth="1"/>
    <col min="25" max="25" width="20" style="42" customWidth="1"/>
    <col min="26" max="26" width="9.08984375" style="42"/>
    <col min="27" max="27" width="12.6328125" style="42" bestFit="1" customWidth="1"/>
    <col min="28" max="16384" width="9.08984375" style="42"/>
  </cols>
  <sheetData>
    <row r="1" spans="2:25" ht="9.8000000000000007" customHeight="1" x14ac:dyDescent="0.3"/>
    <row r="2" spans="2:25" s="135" customFormat="1" ht="26.35" customHeight="1" x14ac:dyDescent="0.4">
      <c r="B2" s="133" t="s">
        <v>101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</row>
    <row r="3" spans="2:25" ht="20.3" customHeight="1" thickBot="1" x14ac:dyDescent="0.35"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4" t="s">
        <v>83</v>
      </c>
    </row>
    <row r="4" spans="2:25" s="51" customFormat="1" ht="54.3" thickBot="1" x14ac:dyDescent="0.35">
      <c r="B4" s="45" t="s">
        <v>59</v>
      </c>
      <c r="C4" s="46" t="s">
        <v>60</v>
      </c>
      <c r="D4" s="124" t="s">
        <v>61</v>
      </c>
      <c r="E4" s="47" t="s">
        <v>62</v>
      </c>
      <c r="F4" s="48" t="s">
        <v>63</v>
      </c>
      <c r="G4" s="49" t="s">
        <v>64</v>
      </c>
      <c r="H4" s="108" t="s">
        <v>65</v>
      </c>
      <c r="I4" s="49" t="s">
        <v>66</v>
      </c>
      <c r="J4" s="108" t="s">
        <v>67</v>
      </c>
      <c r="K4" s="49" t="s">
        <v>68</v>
      </c>
      <c r="L4" s="108" t="s">
        <v>69</v>
      </c>
      <c r="M4" s="46" t="s">
        <v>70</v>
      </c>
      <c r="N4" s="124" t="s">
        <v>96</v>
      </c>
      <c r="O4" s="47" t="s">
        <v>71</v>
      </c>
      <c r="P4" s="109" t="s">
        <v>72</v>
      </c>
      <c r="Q4" s="110" t="s">
        <v>73</v>
      </c>
      <c r="R4" s="110" t="s">
        <v>74</v>
      </c>
      <c r="S4" s="110" t="s">
        <v>75</v>
      </c>
      <c r="T4" s="110" t="s">
        <v>76</v>
      </c>
      <c r="U4" s="50" t="s">
        <v>77</v>
      </c>
      <c r="V4" s="110" t="s">
        <v>79</v>
      </c>
      <c r="W4" s="110" t="s">
        <v>80</v>
      </c>
      <c r="X4" s="49" t="s">
        <v>81</v>
      </c>
      <c r="Y4" s="47" t="s">
        <v>82</v>
      </c>
    </row>
    <row r="5" spans="2:25" ht="23.1" customHeight="1" x14ac:dyDescent="0.3">
      <c r="B5" s="52" t="s">
        <v>1</v>
      </c>
      <c r="C5" s="53" t="s">
        <v>0</v>
      </c>
      <c r="D5" s="53" t="str">
        <f>C5</f>
        <v>Shin Jonghoon Bryan</v>
      </c>
      <c r="E5" s="53" t="s">
        <v>85</v>
      </c>
      <c r="F5" s="96">
        <v>30685417</v>
      </c>
      <c r="G5" s="96">
        <v>2000000</v>
      </c>
      <c r="H5" s="96">
        <v>0</v>
      </c>
      <c r="I5" s="107">
        <v>0</v>
      </c>
      <c r="J5" s="61">
        <v>0</v>
      </c>
      <c r="K5" s="107">
        <v>0</v>
      </c>
      <c r="L5" s="107">
        <v>0</v>
      </c>
      <c r="M5" s="96">
        <v>0</v>
      </c>
      <c r="N5" s="104">
        <v>0</v>
      </c>
      <c r="O5" s="97">
        <f t="shared" ref="O5:O35" si="0">SUM(F5:N5)</f>
        <v>32685417</v>
      </c>
      <c r="P5" s="96">
        <v>286650</v>
      </c>
      <c r="Q5" s="96">
        <v>1160390</v>
      </c>
      <c r="R5" s="96">
        <v>0</v>
      </c>
      <c r="S5" s="96">
        <v>0</v>
      </c>
      <c r="T5" s="96">
        <v>150270</v>
      </c>
      <c r="U5" s="96">
        <v>0</v>
      </c>
      <c r="V5" s="96">
        <v>9669600</v>
      </c>
      <c r="W5" s="96">
        <v>966960</v>
      </c>
      <c r="X5" s="98">
        <f t="shared" ref="X5:X34" si="1">SUM(P5:W5)</f>
        <v>12233870</v>
      </c>
      <c r="Y5" s="99">
        <f t="shared" ref="Y5:Y34" si="2">O5-X5</f>
        <v>20451547</v>
      </c>
    </row>
    <row r="6" spans="2:25" ht="23.1" customHeight="1" x14ac:dyDescent="0.3">
      <c r="B6" s="100">
        <v>45809</v>
      </c>
      <c r="C6" s="101" t="s">
        <v>136</v>
      </c>
      <c r="D6" s="101" t="s">
        <v>29</v>
      </c>
      <c r="E6" s="101" t="s">
        <v>85</v>
      </c>
      <c r="F6" s="61">
        <v>12500000</v>
      </c>
      <c r="G6" s="61">
        <v>0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6058673</v>
      </c>
      <c r="N6" s="105">
        <v>0</v>
      </c>
      <c r="O6" s="62">
        <f t="shared" si="0"/>
        <v>18558673</v>
      </c>
      <c r="P6" s="61">
        <v>261990</v>
      </c>
      <c r="Q6" s="61">
        <v>443120</v>
      </c>
      <c r="R6" s="61">
        <v>0</v>
      </c>
      <c r="S6" s="61">
        <v>167020</v>
      </c>
      <c r="T6" s="61">
        <v>57380</v>
      </c>
      <c r="U6" s="61">
        <v>0</v>
      </c>
      <c r="V6" s="61">
        <v>4602040</v>
      </c>
      <c r="W6" s="61">
        <v>460200</v>
      </c>
      <c r="X6" s="63">
        <f t="shared" si="1"/>
        <v>5991750</v>
      </c>
      <c r="Y6" s="64">
        <f t="shared" si="2"/>
        <v>12566923</v>
      </c>
    </row>
    <row r="7" spans="2:25" ht="23.1" customHeight="1" x14ac:dyDescent="0.3">
      <c r="B7" s="59" t="s">
        <v>15</v>
      </c>
      <c r="C7" s="60" t="s">
        <v>114</v>
      </c>
      <c r="D7" s="60" t="s">
        <v>22</v>
      </c>
      <c r="E7" s="60" t="s">
        <v>86</v>
      </c>
      <c r="F7" s="61">
        <v>0</v>
      </c>
      <c r="G7" s="61">
        <v>0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105">
        <v>0</v>
      </c>
      <c r="O7" s="62">
        <f t="shared" si="0"/>
        <v>0</v>
      </c>
      <c r="P7" s="61">
        <v>0</v>
      </c>
      <c r="Q7" s="61">
        <v>0</v>
      </c>
      <c r="R7" s="61">
        <v>0</v>
      </c>
      <c r="S7" s="61">
        <v>0</v>
      </c>
      <c r="T7" s="61">
        <v>0</v>
      </c>
      <c r="U7" s="61">
        <v>0</v>
      </c>
      <c r="V7" s="61">
        <v>0</v>
      </c>
      <c r="W7" s="61">
        <v>0</v>
      </c>
      <c r="X7" s="63">
        <f t="shared" si="1"/>
        <v>0</v>
      </c>
      <c r="Y7" s="64">
        <f t="shared" si="2"/>
        <v>0</v>
      </c>
    </row>
    <row r="8" spans="2:25" ht="23.1" customHeight="1" x14ac:dyDescent="0.3">
      <c r="B8" s="59" t="s">
        <v>2</v>
      </c>
      <c r="C8" s="60" t="s">
        <v>115</v>
      </c>
      <c r="D8" s="60" t="s">
        <v>23</v>
      </c>
      <c r="E8" s="60" t="s">
        <v>86</v>
      </c>
      <c r="F8" s="61">
        <v>7041667</v>
      </c>
      <c r="G8" s="61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105">
        <v>0</v>
      </c>
      <c r="O8" s="62">
        <f t="shared" si="0"/>
        <v>7041667</v>
      </c>
      <c r="P8" s="61">
        <v>286650</v>
      </c>
      <c r="Q8" s="61">
        <v>241550</v>
      </c>
      <c r="R8" s="61">
        <v>0</v>
      </c>
      <c r="S8" s="61">
        <v>63370</v>
      </c>
      <c r="T8" s="61">
        <v>31280</v>
      </c>
      <c r="U8" s="61">
        <v>0</v>
      </c>
      <c r="V8" s="61">
        <v>535800</v>
      </c>
      <c r="W8" s="61">
        <v>53580</v>
      </c>
      <c r="X8" s="63">
        <f t="shared" si="1"/>
        <v>1212230</v>
      </c>
      <c r="Y8" s="64">
        <f t="shared" si="2"/>
        <v>5829437</v>
      </c>
    </row>
    <row r="9" spans="2:25" ht="23.1" customHeight="1" x14ac:dyDescent="0.3">
      <c r="B9" s="59" t="s">
        <v>3</v>
      </c>
      <c r="C9" s="60" t="s">
        <v>116</v>
      </c>
      <c r="D9" s="60" t="s">
        <v>24</v>
      </c>
      <c r="E9" s="60" t="s">
        <v>84</v>
      </c>
      <c r="F9" s="61">
        <v>3416667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105">
        <v>0</v>
      </c>
      <c r="O9" s="62">
        <f t="shared" si="0"/>
        <v>3416667</v>
      </c>
      <c r="P9" s="61">
        <v>139900</v>
      </c>
      <c r="Q9" s="61">
        <v>112060</v>
      </c>
      <c r="R9" s="61">
        <v>0</v>
      </c>
      <c r="S9" s="61">
        <v>30750</v>
      </c>
      <c r="T9" s="61">
        <v>14510</v>
      </c>
      <c r="U9" s="61">
        <v>0</v>
      </c>
      <c r="V9" s="61">
        <v>114990</v>
      </c>
      <c r="W9" s="61">
        <v>11490</v>
      </c>
      <c r="X9" s="63">
        <f t="shared" si="1"/>
        <v>423700</v>
      </c>
      <c r="Y9" s="64">
        <f t="shared" si="2"/>
        <v>2992967</v>
      </c>
    </row>
    <row r="10" spans="2:25" ht="23.1" customHeight="1" x14ac:dyDescent="0.3">
      <c r="B10" s="59" t="s">
        <v>4</v>
      </c>
      <c r="C10" s="60" t="s">
        <v>117</v>
      </c>
      <c r="D10" s="60" t="s">
        <v>25</v>
      </c>
      <c r="E10" s="60" t="s">
        <v>84</v>
      </c>
      <c r="F10" s="61">
        <v>0</v>
      </c>
      <c r="G10" s="61">
        <v>0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105">
        <v>0</v>
      </c>
      <c r="O10" s="62">
        <f t="shared" si="0"/>
        <v>0</v>
      </c>
      <c r="P10" s="61">
        <v>0</v>
      </c>
      <c r="Q10" s="61">
        <v>0</v>
      </c>
      <c r="R10" s="61">
        <v>0</v>
      </c>
      <c r="S10" s="61">
        <v>0</v>
      </c>
      <c r="T10" s="61">
        <v>0</v>
      </c>
      <c r="U10" s="61">
        <v>0</v>
      </c>
      <c r="V10" s="61">
        <v>0</v>
      </c>
      <c r="W10" s="61">
        <v>0</v>
      </c>
      <c r="X10" s="63">
        <f t="shared" si="1"/>
        <v>0</v>
      </c>
      <c r="Y10" s="64">
        <f t="shared" si="2"/>
        <v>0</v>
      </c>
    </row>
    <row r="11" spans="2:25" ht="23.1" customHeight="1" x14ac:dyDescent="0.3">
      <c r="B11" s="59" t="s">
        <v>5</v>
      </c>
      <c r="C11" s="60" t="s">
        <v>118</v>
      </c>
      <c r="D11" s="60" t="s">
        <v>26</v>
      </c>
      <c r="E11" s="60" t="s">
        <v>86</v>
      </c>
      <c r="F11" s="61">
        <v>3750000</v>
      </c>
      <c r="G11" s="61">
        <v>0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105">
        <v>0</v>
      </c>
      <c r="O11" s="62">
        <f t="shared" si="0"/>
        <v>3750000</v>
      </c>
      <c r="P11" s="61">
        <v>159340</v>
      </c>
      <c r="Q11" s="61">
        <v>120230</v>
      </c>
      <c r="R11" s="61">
        <v>0</v>
      </c>
      <c r="S11" s="61">
        <v>33750</v>
      </c>
      <c r="T11" s="61">
        <v>15570</v>
      </c>
      <c r="U11" s="61">
        <v>0</v>
      </c>
      <c r="V11" s="61">
        <v>156560</v>
      </c>
      <c r="W11" s="61">
        <v>15650</v>
      </c>
      <c r="X11" s="63">
        <f t="shared" si="1"/>
        <v>501100</v>
      </c>
      <c r="Y11" s="64">
        <f t="shared" si="2"/>
        <v>3248900</v>
      </c>
    </row>
    <row r="12" spans="2:25" ht="23.1" customHeight="1" x14ac:dyDescent="0.3">
      <c r="B12" s="59" t="s">
        <v>6</v>
      </c>
      <c r="C12" s="60" t="s">
        <v>119</v>
      </c>
      <c r="D12" s="60" t="s">
        <v>27</v>
      </c>
      <c r="E12" s="60" t="s">
        <v>86</v>
      </c>
      <c r="F12" s="61">
        <v>0</v>
      </c>
      <c r="G12" s="61">
        <v>0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105">
        <v>0</v>
      </c>
      <c r="O12" s="62">
        <f t="shared" si="0"/>
        <v>0</v>
      </c>
      <c r="P12" s="61">
        <v>-240700</v>
      </c>
      <c r="Q12" s="61">
        <v>0</v>
      </c>
      <c r="R12" s="61">
        <v>0</v>
      </c>
      <c r="S12" s="61">
        <v>0</v>
      </c>
      <c r="T12" s="61">
        <v>0</v>
      </c>
      <c r="U12" s="61">
        <v>0</v>
      </c>
      <c r="V12" s="61">
        <v>0</v>
      </c>
      <c r="W12" s="61">
        <v>0</v>
      </c>
      <c r="X12" s="63">
        <f t="shared" si="1"/>
        <v>-240700</v>
      </c>
      <c r="Y12" s="64">
        <f t="shared" si="2"/>
        <v>240700</v>
      </c>
    </row>
    <row r="13" spans="2:25" ht="23.1" customHeight="1" x14ac:dyDescent="0.3">
      <c r="B13" s="59" t="s">
        <v>7</v>
      </c>
      <c r="C13" s="60" t="s">
        <v>120</v>
      </c>
      <c r="D13" s="60" t="s">
        <v>28</v>
      </c>
      <c r="E13" s="60" t="s">
        <v>84</v>
      </c>
      <c r="F13" s="61">
        <v>4500000</v>
      </c>
      <c r="G13" s="61">
        <v>0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105">
        <v>0</v>
      </c>
      <c r="O13" s="62">
        <f t="shared" si="0"/>
        <v>4500000</v>
      </c>
      <c r="P13" s="61">
        <v>170100</v>
      </c>
      <c r="Q13" s="61">
        <v>136260</v>
      </c>
      <c r="R13" s="61">
        <v>0</v>
      </c>
      <c r="S13" s="61">
        <v>40500</v>
      </c>
      <c r="T13" s="61">
        <v>17640</v>
      </c>
      <c r="U13" s="61">
        <v>0</v>
      </c>
      <c r="V13" s="61">
        <v>262840</v>
      </c>
      <c r="W13" s="61">
        <v>26280</v>
      </c>
      <c r="X13" s="63">
        <f t="shared" si="1"/>
        <v>653620</v>
      </c>
      <c r="Y13" s="64">
        <f t="shared" si="2"/>
        <v>3846380</v>
      </c>
    </row>
    <row r="14" spans="2:25" ht="23.1" customHeight="1" x14ac:dyDescent="0.3">
      <c r="B14" s="59" t="s">
        <v>9</v>
      </c>
      <c r="C14" s="60" t="s">
        <v>122</v>
      </c>
      <c r="D14" s="60" t="s">
        <v>30</v>
      </c>
      <c r="E14" s="60" t="s">
        <v>87</v>
      </c>
      <c r="F14" s="61">
        <v>4025000</v>
      </c>
      <c r="G14" s="61">
        <v>0</v>
      </c>
      <c r="H14" s="61">
        <v>0</v>
      </c>
      <c r="I14" s="61">
        <v>0</v>
      </c>
      <c r="J14" s="61">
        <v>0</v>
      </c>
      <c r="K14" s="61">
        <v>0</v>
      </c>
      <c r="L14" s="61">
        <v>0</v>
      </c>
      <c r="M14" s="61">
        <v>0</v>
      </c>
      <c r="N14" s="105">
        <v>0</v>
      </c>
      <c r="O14" s="62">
        <f t="shared" si="0"/>
        <v>4025000</v>
      </c>
      <c r="P14" s="61">
        <v>189630</v>
      </c>
      <c r="Q14" s="61">
        <v>151880</v>
      </c>
      <c r="R14" s="61">
        <v>0</v>
      </c>
      <c r="S14" s="61">
        <v>36220</v>
      </c>
      <c r="T14" s="61">
        <v>19660</v>
      </c>
      <c r="U14" s="61">
        <v>0</v>
      </c>
      <c r="V14" s="61">
        <v>198630</v>
      </c>
      <c r="W14" s="61">
        <v>19860</v>
      </c>
      <c r="X14" s="63">
        <f t="shared" si="1"/>
        <v>615880</v>
      </c>
      <c r="Y14" s="64">
        <f t="shared" si="2"/>
        <v>3409120</v>
      </c>
    </row>
    <row r="15" spans="2:25" ht="23.1" customHeight="1" x14ac:dyDescent="0.3">
      <c r="B15" s="59" t="s">
        <v>10</v>
      </c>
      <c r="C15" s="60" t="s">
        <v>123</v>
      </c>
      <c r="D15" s="60" t="s">
        <v>31</v>
      </c>
      <c r="E15" s="60" t="s">
        <v>86</v>
      </c>
      <c r="F15" s="61">
        <v>10333333</v>
      </c>
      <c r="G15" s="61">
        <v>0</v>
      </c>
      <c r="H15" s="61">
        <v>0</v>
      </c>
      <c r="I15" s="61">
        <v>0</v>
      </c>
      <c r="J15" s="61">
        <v>0</v>
      </c>
      <c r="K15" s="61">
        <v>0</v>
      </c>
      <c r="L15" s="61">
        <v>0</v>
      </c>
      <c r="M15" s="61">
        <v>0</v>
      </c>
      <c r="N15" s="105">
        <v>0</v>
      </c>
      <c r="O15" s="62">
        <f t="shared" si="0"/>
        <v>10333333</v>
      </c>
      <c r="P15" s="61">
        <v>286650</v>
      </c>
      <c r="Q15" s="61">
        <v>390540</v>
      </c>
      <c r="R15" s="61">
        <v>0</v>
      </c>
      <c r="S15" s="61">
        <v>92990</v>
      </c>
      <c r="T15" s="61">
        <v>50570</v>
      </c>
      <c r="U15" s="61">
        <v>0</v>
      </c>
      <c r="V15" s="61">
        <v>1646730</v>
      </c>
      <c r="W15" s="61">
        <v>164670</v>
      </c>
      <c r="X15" s="63">
        <f t="shared" si="1"/>
        <v>2632150</v>
      </c>
      <c r="Y15" s="64">
        <f t="shared" si="2"/>
        <v>7701183</v>
      </c>
    </row>
    <row r="16" spans="2:25" ht="23.1" customHeight="1" x14ac:dyDescent="0.3">
      <c r="B16" s="66">
        <v>41699</v>
      </c>
      <c r="C16" s="60" t="s">
        <v>124</v>
      </c>
      <c r="D16" s="60" t="s">
        <v>32</v>
      </c>
      <c r="E16" s="60" t="s">
        <v>86</v>
      </c>
      <c r="F16" s="61">
        <v>6458333</v>
      </c>
      <c r="G16" s="61">
        <v>0</v>
      </c>
      <c r="H16" s="61">
        <v>0</v>
      </c>
      <c r="I16" s="61">
        <v>0</v>
      </c>
      <c r="J16" s="61">
        <v>0</v>
      </c>
      <c r="K16" s="61">
        <v>0</v>
      </c>
      <c r="L16" s="61">
        <v>0</v>
      </c>
      <c r="M16" s="61">
        <v>0</v>
      </c>
      <c r="N16" s="105">
        <v>0</v>
      </c>
      <c r="O16" s="62">
        <f t="shared" si="0"/>
        <v>6458333</v>
      </c>
      <c r="P16" s="61">
        <v>277290</v>
      </c>
      <c r="Q16" s="61">
        <v>222110</v>
      </c>
      <c r="R16" s="61">
        <v>0</v>
      </c>
      <c r="S16" s="61">
        <v>58120</v>
      </c>
      <c r="T16" s="61">
        <v>28760</v>
      </c>
      <c r="U16" s="61">
        <v>0</v>
      </c>
      <c r="V16" s="61">
        <v>557960</v>
      </c>
      <c r="W16" s="61">
        <v>55790</v>
      </c>
      <c r="X16" s="63">
        <f t="shared" si="1"/>
        <v>1200030</v>
      </c>
      <c r="Y16" s="64">
        <f t="shared" si="2"/>
        <v>5258303</v>
      </c>
    </row>
    <row r="17" spans="2:25" ht="23.1" customHeight="1" x14ac:dyDescent="0.3">
      <c r="B17" s="59" t="s">
        <v>11</v>
      </c>
      <c r="C17" s="60" t="s">
        <v>125</v>
      </c>
      <c r="D17" s="60" t="s">
        <v>33</v>
      </c>
      <c r="E17" s="60" t="s">
        <v>87</v>
      </c>
      <c r="F17" s="61">
        <v>3766667</v>
      </c>
      <c r="G17" s="61">
        <v>0</v>
      </c>
      <c r="H17" s="61">
        <v>0</v>
      </c>
      <c r="I17" s="61">
        <v>0</v>
      </c>
      <c r="J17" s="61">
        <v>0</v>
      </c>
      <c r="K17" s="61">
        <v>0</v>
      </c>
      <c r="L17" s="61">
        <v>0</v>
      </c>
      <c r="M17" s="61">
        <v>0</v>
      </c>
      <c r="N17" s="105">
        <v>0</v>
      </c>
      <c r="O17" s="62">
        <f t="shared" si="0"/>
        <v>3766667</v>
      </c>
      <c r="P17" s="61">
        <v>178330</v>
      </c>
      <c r="Q17" s="61">
        <v>142860</v>
      </c>
      <c r="R17" s="61">
        <v>0</v>
      </c>
      <c r="S17" s="61">
        <v>33900</v>
      </c>
      <c r="T17" s="61">
        <v>18500</v>
      </c>
      <c r="U17" s="61">
        <v>0</v>
      </c>
      <c r="V17" s="61">
        <v>163920</v>
      </c>
      <c r="W17" s="61">
        <v>16390</v>
      </c>
      <c r="X17" s="63">
        <f t="shared" si="1"/>
        <v>553900</v>
      </c>
      <c r="Y17" s="64">
        <f t="shared" si="2"/>
        <v>3212767</v>
      </c>
    </row>
    <row r="18" spans="2:25" ht="23.1" customHeight="1" x14ac:dyDescent="0.3">
      <c r="B18" s="59" t="s">
        <v>12</v>
      </c>
      <c r="C18" s="60" t="s">
        <v>126</v>
      </c>
      <c r="D18" s="60" t="s">
        <v>34</v>
      </c>
      <c r="E18" s="60" t="s">
        <v>87</v>
      </c>
      <c r="F18" s="61">
        <v>4800000</v>
      </c>
      <c r="G18" s="61">
        <v>0</v>
      </c>
      <c r="H18" s="61">
        <v>50000</v>
      </c>
      <c r="I18" s="61">
        <v>0</v>
      </c>
      <c r="J18" s="61">
        <v>0</v>
      </c>
      <c r="K18" s="61">
        <v>0</v>
      </c>
      <c r="L18" s="61">
        <v>0</v>
      </c>
      <c r="M18" s="61">
        <v>0</v>
      </c>
      <c r="N18" s="105">
        <v>0</v>
      </c>
      <c r="O18" s="62">
        <f t="shared" si="0"/>
        <v>4850000</v>
      </c>
      <c r="P18" s="61">
        <v>223830</v>
      </c>
      <c r="Q18" s="61">
        <v>179300</v>
      </c>
      <c r="R18" s="61">
        <v>0</v>
      </c>
      <c r="S18" s="61">
        <v>43650</v>
      </c>
      <c r="T18" s="61">
        <v>23220</v>
      </c>
      <c r="U18" s="61">
        <v>0</v>
      </c>
      <c r="V18" s="61">
        <v>313030</v>
      </c>
      <c r="W18" s="61">
        <v>31300</v>
      </c>
      <c r="X18" s="63">
        <f t="shared" si="1"/>
        <v>814330</v>
      </c>
      <c r="Y18" s="64">
        <f t="shared" si="2"/>
        <v>4035670</v>
      </c>
    </row>
    <row r="19" spans="2:25" ht="23.1" customHeight="1" x14ac:dyDescent="0.3">
      <c r="B19" s="59" t="s">
        <v>13</v>
      </c>
      <c r="C19" s="60" t="s">
        <v>127</v>
      </c>
      <c r="D19" s="60" t="s">
        <v>35</v>
      </c>
      <c r="E19" s="60" t="s">
        <v>87</v>
      </c>
      <c r="F19" s="61">
        <v>3433333</v>
      </c>
      <c r="G19" s="61">
        <v>0</v>
      </c>
      <c r="H19" s="61">
        <v>0</v>
      </c>
      <c r="I19" s="61">
        <v>0</v>
      </c>
      <c r="J19" s="61">
        <v>0</v>
      </c>
      <c r="K19" s="61">
        <v>0</v>
      </c>
      <c r="L19" s="61">
        <v>0</v>
      </c>
      <c r="M19" s="61">
        <v>0</v>
      </c>
      <c r="N19" s="105">
        <v>0</v>
      </c>
      <c r="O19" s="62">
        <f t="shared" si="0"/>
        <v>3433333</v>
      </c>
      <c r="P19" s="61">
        <v>154480</v>
      </c>
      <c r="Q19" s="61">
        <v>121710</v>
      </c>
      <c r="R19" s="61">
        <v>0</v>
      </c>
      <c r="S19" s="61">
        <v>30890</v>
      </c>
      <c r="T19" s="61">
        <v>15760</v>
      </c>
      <c r="U19" s="61">
        <v>0</v>
      </c>
      <c r="V19" s="61">
        <v>124770</v>
      </c>
      <c r="W19" s="61">
        <v>12470</v>
      </c>
      <c r="X19" s="63">
        <f t="shared" si="1"/>
        <v>460080</v>
      </c>
      <c r="Y19" s="64">
        <f t="shared" si="2"/>
        <v>2973253</v>
      </c>
    </row>
    <row r="20" spans="2:25" ht="23.1" customHeight="1" x14ac:dyDescent="0.3">
      <c r="B20" s="59" t="s">
        <v>14</v>
      </c>
      <c r="C20" s="60" t="s">
        <v>128</v>
      </c>
      <c r="D20" s="60" t="s">
        <v>36</v>
      </c>
      <c r="E20" s="60" t="s">
        <v>87</v>
      </c>
      <c r="F20" s="61">
        <v>3441667</v>
      </c>
      <c r="G20" s="61">
        <v>0</v>
      </c>
      <c r="H20" s="61">
        <v>0</v>
      </c>
      <c r="I20" s="61">
        <v>0</v>
      </c>
      <c r="J20" s="61">
        <v>1000000</v>
      </c>
      <c r="K20" s="61">
        <v>0</v>
      </c>
      <c r="L20" s="61">
        <v>0</v>
      </c>
      <c r="M20" s="61">
        <v>0</v>
      </c>
      <c r="N20" s="105">
        <v>0</v>
      </c>
      <c r="O20" s="62">
        <f t="shared" si="0"/>
        <v>4441667</v>
      </c>
      <c r="P20" s="61">
        <v>158440</v>
      </c>
      <c r="Q20" s="61">
        <v>126910</v>
      </c>
      <c r="R20" s="61">
        <v>0</v>
      </c>
      <c r="S20" s="61">
        <v>39970</v>
      </c>
      <c r="T20" s="61">
        <v>16430</v>
      </c>
      <c r="U20" s="61">
        <v>0</v>
      </c>
      <c r="V20" s="61">
        <v>254700</v>
      </c>
      <c r="W20" s="61">
        <v>25470</v>
      </c>
      <c r="X20" s="63">
        <f t="shared" si="1"/>
        <v>621920</v>
      </c>
      <c r="Y20" s="64">
        <f t="shared" si="2"/>
        <v>3819747</v>
      </c>
    </row>
    <row r="21" spans="2:25" ht="23.1" customHeight="1" x14ac:dyDescent="0.3">
      <c r="B21" s="67" t="s">
        <v>16</v>
      </c>
      <c r="C21" s="68" t="s">
        <v>129</v>
      </c>
      <c r="D21" s="68" t="s">
        <v>37</v>
      </c>
      <c r="E21" s="68" t="s">
        <v>86</v>
      </c>
      <c r="F21" s="69">
        <v>3833333</v>
      </c>
      <c r="G21" s="69">
        <v>0</v>
      </c>
      <c r="H21" s="69">
        <v>0</v>
      </c>
      <c r="I21" s="69">
        <v>0</v>
      </c>
      <c r="J21" s="69">
        <v>0</v>
      </c>
      <c r="K21" s="69">
        <v>0</v>
      </c>
      <c r="L21" s="69">
        <v>0</v>
      </c>
      <c r="M21" s="69">
        <v>0</v>
      </c>
      <c r="N21" s="106">
        <v>0</v>
      </c>
      <c r="O21" s="70">
        <f t="shared" si="0"/>
        <v>3833333</v>
      </c>
      <c r="P21" s="61">
        <v>164020</v>
      </c>
      <c r="Q21" s="61">
        <v>131380</v>
      </c>
      <c r="R21" s="61">
        <v>12510</v>
      </c>
      <c r="S21" s="61">
        <v>34490</v>
      </c>
      <c r="T21" s="61">
        <v>17010</v>
      </c>
      <c r="U21" s="61">
        <v>0</v>
      </c>
      <c r="V21" s="61">
        <v>134550</v>
      </c>
      <c r="W21" s="61">
        <v>13450</v>
      </c>
      <c r="X21" s="71">
        <f t="shared" si="1"/>
        <v>507410</v>
      </c>
      <c r="Y21" s="72">
        <f t="shared" si="2"/>
        <v>3325923</v>
      </c>
    </row>
    <row r="22" spans="2:25" ht="23.1" customHeight="1" x14ac:dyDescent="0.3">
      <c r="B22" s="73">
        <v>44879</v>
      </c>
      <c r="C22" s="74" t="s">
        <v>130</v>
      </c>
      <c r="D22" s="74" t="s">
        <v>38</v>
      </c>
      <c r="E22" s="74" t="s">
        <v>86</v>
      </c>
      <c r="F22" s="69">
        <v>4791667</v>
      </c>
      <c r="G22" s="69">
        <v>0</v>
      </c>
      <c r="H22" s="69">
        <v>0</v>
      </c>
      <c r="I22" s="69">
        <v>0</v>
      </c>
      <c r="J22" s="69">
        <v>0</v>
      </c>
      <c r="K22" s="69">
        <v>0</v>
      </c>
      <c r="L22" s="69">
        <v>0</v>
      </c>
      <c r="M22" s="69">
        <v>0</v>
      </c>
      <c r="N22" s="69">
        <v>0</v>
      </c>
      <c r="O22" s="75">
        <f t="shared" si="0"/>
        <v>4791667</v>
      </c>
      <c r="P22" s="61">
        <v>219820</v>
      </c>
      <c r="Q22" s="61">
        <v>176060</v>
      </c>
      <c r="R22" s="61">
        <v>18480</v>
      </c>
      <c r="S22" s="61">
        <v>43120</v>
      </c>
      <c r="T22" s="61">
        <v>22800</v>
      </c>
      <c r="U22" s="61">
        <v>0</v>
      </c>
      <c r="V22" s="61">
        <v>304610</v>
      </c>
      <c r="W22" s="61">
        <v>30460</v>
      </c>
      <c r="X22" s="71">
        <f t="shared" si="1"/>
        <v>815350</v>
      </c>
      <c r="Y22" s="72">
        <f t="shared" si="2"/>
        <v>3976317</v>
      </c>
    </row>
    <row r="23" spans="2:25" ht="23.1" customHeight="1" x14ac:dyDescent="0.3">
      <c r="B23" s="73">
        <v>44923</v>
      </c>
      <c r="C23" s="74" t="s">
        <v>131</v>
      </c>
      <c r="D23" s="74" t="s">
        <v>39</v>
      </c>
      <c r="E23" s="74" t="s">
        <v>86</v>
      </c>
      <c r="F23" s="69">
        <v>4416667</v>
      </c>
      <c r="G23" s="69">
        <v>0</v>
      </c>
      <c r="H23" s="69">
        <v>0</v>
      </c>
      <c r="I23" s="69">
        <v>0</v>
      </c>
      <c r="J23" s="69">
        <v>0</v>
      </c>
      <c r="K23" s="69">
        <v>0</v>
      </c>
      <c r="L23" s="69">
        <v>0</v>
      </c>
      <c r="M23" s="69">
        <v>0</v>
      </c>
      <c r="N23" s="69">
        <v>0</v>
      </c>
      <c r="O23" s="75">
        <f t="shared" si="0"/>
        <v>4416667</v>
      </c>
      <c r="P23" s="61">
        <v>161050</v>
      </c>
      <c r="Q23" s="61">
        <v>128990</v>
      </c>
      <c r="R23" s="61">
        <v>0</v>
      </c>
      <c r="S23" s="61">
        <v>39750</v>
      </c>
      <c r="T23" s="61">
        <v>16700</v>
      </c>
      <c r="U23" s="61">
        <v>0</v>
      </c>
      <c r="V23" s="61">
        <v>201300</v>
      </c>
      <c r="W23" s="61">
        <v>20130</v>
      </c>
      <c r="X23" s="69">
        <f t="shared" si="1"/>
        <v>567920</v>
      </c>
      <c r="Y23" s="72">
        <f t="shared" si="2"/>
        <v>3848747</v>
      </c>
    </row>
    <row r="24" spans="2:25" ht="23.1" customHeight="1" x14ac:dyDescent="0.3">
      <c r="B24" s="73">
        <v>45034</v>
      </c>
      <c r="C24" s="74" t="s">
        <v>132</v>
      </c>
      <c r="D24" s="74" t="s">
        <v>40</v>
      </c>
      <c r="E24" s="74" t="s">
        <v>87</v>
      </c>
      <c r="F24" s="69">
        <v>2983333</v>
      </c>
      <c r="G24" s="69">
        <v>0</v>
      </c>
      <c r="H24" s="69">
        <v>0</v>
      </c>
      <c r="I24" s="69">
        <v>0</v>
      </c>
      <c r="J24" s="69">
        <v>0</v>
      </c>
      <c r="K24" s="69">
        <v>0</v>
      </c>
      <c r="L24" s="69">
        <v>0</v>
      </c>
      <c r="M24" s="69">
        <v>0</v>
      </c>
      <c r="N24" s="69">
        <v>0</v>
      </c>
      <c r="O24" s="75">
        <f t="shared" si="0"/>
        <v>2983333</v>
      </c>
      <c r="P24" s="69">
        <v>134500</v>
      </c>
      <c r="Q24" s="69">
        <v>107750</v>
      </c>
      <c r="R24" s="69">
        <v>21160</v>
      </c>
      <c r="S24" s="69">
        <v>26840</v>
      </c>
      <c r="T24" s="69">
        <v>13950</v>
      </c>
      <c r="U24" s="69">
        <v>0</v>
      </c>
      <c r="V24" s="61">
        <v>72210</v>
      </c>
      <c r="W24" s="69">
        <v>7220</v>
      </c>
      <c r="X24" s="69">
        <f t="shared" si="1"/>
        <v>383630</v>
      </c>
      <c r="Y24" s="72">
        <f t="shared" si="2"/>
        <v>2599703</v>
      </c>
    </row>
    <row r="25" spans="2:25" ht="23.1" customHeight="1" x14ac:dyDescent="0.3">
      <c r="B25" s="73">
        <v>45212</v>
      </c>
      <c r="C25" s="74" t="s">
        <v>133</v>
      </c>
      <c r="D25" s="74" t="s">
        <v>41</v>
      </c>
      <c r="E25" s="74" t="s">
        <v>87</v>
      </c>
      <c r="F25" s="69">
        <v>2683333</v>
      </c>
      <c r="G25" s="69">
        <v>0</v>
      </c>
      <c r="H25" s="69">
        <v>0</v>
      </c>
      <c r="I25" s="69">
        <v>0</v>
      </c>
      <c r="J25" s="69">
        <v>0</v>
      </c>
      <c r="K25" s="69">
        <v>0</v>
      </c>
      <c r="L25" s="69">
        <v>0</v>
      </c>
      <c r="M25" s="69">
        <v>0</v>
      </c>
      <c r="N25" s="69">
        <v>0</v>
      </c>
      <c r="O25" s="75">
        <f t="shared" si="0"/>
        <v>2683333</v>
      </c>
      <c r="P25" s="69">
        <v>114880</v>
      </c>
      <c r="Q25" s="69">
        <v>92020</v>
      </c>
      <c r="R25" s="69">
        <v>21060</v>
      </c>
      <c r="S25" s="69">
        <v>24140</v>
      </c>
      <c r="T25" s="69">
        <v>11910</v>
      </c>
      <c r="U25" s="69">
        <v>0</v>
      </c>
      <c r="V25" s="61">
        <v>46540</v>
      </c>
      <c r="W25" s="69">
        <v>4650</v>
      </c>
      <c r="X25" s="69">
        <f t="shared" si="1"/>
        <v>315200</v>
      </c>
      <c r="Y25" s="72">
        <f t="shared" si="2"/>
        <v>2368133</v>
      </c>
    </row>
    <row r="26" spans="2:25" ht="23.1" customHeight="1" x14ac:dyDescent="0.3">
      <c r="B26" s="66">
        <v>45366</v>
      </c>
      <c r="C26" s="76" t="s">
        <v>134</v>
      </c>
      <c r="D26" s="76" t="s">
        <v>42</v>
      </c>
      <c r="E26" s="76" t="s">
        <v>86</v>
      </c>
      <c r="F26" s="61">
        <v>3666667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1">
        <v>0</v>
      </c>
      <c r="M26" s="61">
        <v>0</v>
      </c>
      <c r="N26" s="69">
        <v>0</v>
      </c>
      <c r="O26" s="75">
        <f t="shared" si="0"/>
        <v>3666667</v>
      </c>
      <c r="P26" s="61">
        <v>135310</v>
      </c>
      <c r="Q26" s="61">
        <v>103780</v>
      </c>
      <c r="R26" s="61">
        <v>0</v>
      </c>
      <c r="S26" s="61">
        <v>33000</v>
      </c>
      <c r="T26" s="61">
        <v>13440</v>
      </c>
      <c r="U26" s="61">
        <v>0</v>
      </c>
      <c r="V26" s="61">
        <v>88040</v>
      </c>
      <c r="W26" s="61">
        <v>8800</v>
      </c>
      <c r="X26" s="69">
        <f t="shared" si="1"/>
        <v>382370</v>
      </c>
      <c r="Y26" s="72">
        <f t="shared" si="2"/>
        <v>3284297</v>
      </c>
    </row>
    <row r="27" spans="2:25" ht="23.1" customHeight="1" x14ac:dyDescent="0.3">
      <c r="B27" s="73">
        <v>45366</v>
      </c>
      <c r="C27" s="74" t="s">
        <v>135</v>
      </c>
      <c r="D27" s="74" t="s">
        <v>43</v>
      </c>
      <c r="E27" s="74" t="s">
        <v>86</v>
      </c>
      <c r="F27" s="69">
        <v>3583333</v>
      </c>
      <c r="G27" s="69">
        <v>0</v>
      </c>
      <c r="H27" s="69">
        <v>0</v>
      </c>
      <c r="I27" s="69">
        <v>0</v>
      </c>
      <c r="J27" s="69">
        <v>0</v>
      </c>
      <c r="K27" s="69">
        <v>0</v>
      </c>
      <c r="L27" s="69">
        <v>0</v>
      </c>
      <c r="M27" s="69">
        <v>0</v>
      </c>
      <c r="N27" s="69">
        <v>0</v>
      </c>
      <c r="O27" s="75">
        <f t="shared" si="0"/>
        <v>3583333</v>
      </c>
      <c r="P27" s="69">
        <v>127390</v>
      </c>
      <c r="Q27" s="69">
        <v>97700</v>
      </c>
      <c r="R27" s="69">
        <v>0</v>
      </c>
      <c r="S27" s="69">
        <v>32240</v>
      </c>
      <c r="T27" s="69">
        <v>12650</v>
      </c>
      <c r="U27" s="69">
        <v>0</v>
      </c>
      <c r="V27" s="61">
        <v>137000</v>
      </c>
      <c r="W27" s="69">
        <v>13700</v>
      </c>
      <c r="X27" s="69">
        <f t="shared" si="1"/>
        <v>420680</v>
      </c>
      <c r="Y27" s="72">
        <f t="shared" si="2"/>
        <v>3162653</v>
      </c>
    </row>
    <row r="28" spans="2:25" ht="23.1" customHeight="1" x14ac:dyDescent="0.3">
      <c r="B28" s="66">
        <v>45554</v>
      </c>
      <c r="C28" s="60" t="s">
        <v>137</v>
      </c>
      <c r="D28" s="60" t="s">
        <v>44</v>
      </c>
      <c r="E28" s="60" t="s">
        <v>87</v>
      </c>
      <c r="F28" s="61">
        <v>2583333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1">
        <v>0</v>
      </c>
      <c r="M28" s="61">
        <v>0</v>
      </c>
      <c r="N28" s="61">
        <v>0</v>
      </c>
      <c r="O28" s="77">
        <f t="shared" si="0"/>
        <v>2583333</v>
      </c>
      <c r="P28" s="61">
        <v>106960</v>
      </c>
      <c r="Q28" s="61">
        <v>73050</v>
      </c>
      <c r="R28" s="61">
        <v>0</v>
      </c>
      <c r="S28" s="61">
        <v>23240</v>
      </c>
      <c r="T28" s="61">
        <v>9460</v>
      </c>
      <c r="U28" s="61">
        <v>0</v>
      </c>
      <c r="V28" s="61">
        <v>43110</v>
      </c>
      <c r="W28" s="61">
        <v>4310</v>
      </c>
      <c r="X28" s="61">
        <f t="shared" si="1"/>
        <v>260130</v>
      </c>
      <c r="Y28" s="64">
        <f t="shared" si="2"/>
        <v>2323203</v>
      </c>
    </row>
    <row r="29" spans="2:25" ht="23.1" customHeight="1" x14ac:dyDescent="0.3">
      <c r="B29" s="66">
        <v>45593</v>
      </c>
      <c r="C29" s="60" t="s">
        <v>138</v>
      </c>
      <c r="D29" s="60" t="s">
        <v>45</v>
      </c>
      <c r="E29" s="60" t="s">
        <v>87</v>
      </c>
      <c r="F29" s="61">
        <v>2541667</v>
      </c>
      <c r="G29" s="61">
        <v>0</v>
      </c>
      <c r="H29" s="61">
        <v>0</v>
      </c>
      <c r="I29" s="61">
        <v>0</v>
      </c>
      <c r="J29" s="61">
        <v>0</v>
      </c>
      <c r="K29" s="61">
        <v>0</v>
      </c>
      <c r="L29" s="61">
        <v>0</v>
      </c>
      <c r="M29" s="61">
        <v>0</v>
      </c>
      <c r="N29" s="61">
        <v>0</v>
      </c>
      <c r="O29" s="77">
        <f t="shared" si="0"/>
        <v>2541667</v>
      </c>
      <c r="P29" s="61">
        <v>106830</v>
      </c>
      <c r="Q29" s="61">
        <v>91190</v>
      </c>
      <c r="R29" s="61">
        <v>0</v>
      </c>
      <c r="S29" s="61">
        <v>22870</v>
      </c>
      <c r="T29" s="61">
        <v>11800</v>
      </c>
      <c r="U29" s="61">
        <v>0</v>
      </c>
      <c r="V29" s="61">
        <v>38830</v>
      </c>
      <c r="W29" s="61">
        <v>3880</v>
      </c>
      <c r="X29" s="61">
        <f t="shared" si="1"/>
        <v>275400</v>
      </c>
      <c r="Y29" s="64">
        <f t="shared" si="2"/>
        <v>2266267</v>
      </c>
    </row>
    <row r="30" spans="2:25" ht="23.1" customHeight="1" x14ac:dyDescent="0.3">
      <c r="B30" s="66">
        <v>45627</v>
      </c>
      <c r="C30" s="60" t="s">
        <v>139</v>
      </c>
      <c r="D30" s="60" t="s">
        <v>46</v>
      </c>
      <c r="E30" s="60" t="s">
        <v>86</v>
      </c>
      <c r="F30" s="61">
        <v>3458333</v>
      </c>
      <c r="G30" s="61">
        <v>0</v>
      </c>
      <c r="H30" s="61">
        <v>0</v>
      </c>
      <c r="I30" s="61">
        <v>0</v>
      </c>
      <c r="J30" s="61">
        <v>0</v>
      </c>
      <c r="K30" s="61">
        <v>0</v>
      </c>
      <c r="L30" s="61">
        <v>0</v>
      </c>
      <c r="M30" s="61">
        <v>0</v>
      </c>
      <c r="N30" s="61">
        <v>0</v>
      </c>
      <c r="O30" s="77">
        <f t="shared" si="0"/>
        <v>3458333</v>
      </c>
      <c r="P30" s="61">
        <v>134230</v>
      </c>
      <c r="Q30" s="61">
        <v>109300</v>
      </c>
      <c r="R30" s="61">
        <v>0</v>
      </c>
      <c r="S30" s="61">
        <v>31120</v>
      </c>
      <c r="T30" s="61">
        <v>14150</v>
      </c>
      <c r="U30" s="61">
        <v>0</v>
      </c>
      <c r="V30" s="61">
        <v>81190</v>
      </c>
      <c r="W30" s="61">
        <v>8110</v>
      </c>
      <c r="X30" s="61">
        <f t="shared" si="1"/>
        <v>378100</v>
      </c>
      <c r="Y30" s="64">
        <f t="shared" si="2"/>
        <v>3080233</v>
      </c>
    </row>
    <row r="31" spans="2:25" ht="23.1" customHeight="1" x14ac:dyDescent="0.3">
      <c r="B31" s="66">
        <v>45656</v>
      </c>
      <c r="C31" s="60" t="s">
        <v>140</v>
      </c>
      <c r="D31" s="60" t="s">
        <v>47</v>
      </c>
      <c r="E31" s="60" t="s">
        <v>84</v>
      </c>
      <c r="F31" s="61">
        <v>3083333</v>
      </c>
      <c r="G31" s="61">
        <v>0</v>
      </c>
      <c r="H31" s="61">
        <v>0</v>
      </c>
      <c r="I31" s="61">
        <v>0</v>
      </c>
      <c r="J31" s="61">
        <v>0</v>
      </c>
      <c r="K31" s="61">
        <v>0</v>
      </c>
      <c r="L31" s="61">
        <v>0</v>
      </c>
      <c r="M31" s="61">
        <v>0</v>
      </c>
      <c r="N31" s="61">
        <v>0</v>
      </c>
      <c r="O31" s="77">
        <f t="shared" si="0"/>
        <v>3083333</v>
      </c>
      <c r="P31" s="61">
        <v>138730</v>
      </c>
      <c r="Q31" s="61">
        <v>109300</v>
      </c>
      <c r="R31" s="61">
        <v>0</v>
      </c>
      <c r="S31" s="61">
        <v>27740</v>
      </c>
      <c r="T31" s="61">
        <v>14150</v>
      </c>
      <c r="U31" s="61">
        <v>0</v>
      </c>
      <c r="V31" s="61">
        <v>81190</v>
      </c>
      <c r="W31" s="61">
        <v>8110</v>
      </c>
      <c r="X31" s="61">
        <f t="shared" si="1"/>
        <v>379220</v>
      </c>
      <c r="Y31" s="64">
        <f t="shared" si="2"/>
        <v>2704113</v>
      </c>
    </row>
    <row r="32" spans="2:25" ht="23.1" customHeight="1" x14ac:dyDescent="0.3">
      <c r="B32" s="73">
        <v>45761</v>
      </c>
      <c r="C32" s="68" t="s">
        <v>141</v>
      </c>
      <c r="D32" s="68" t="s">
        <v>53</v>
      </c>
      <c r="E32" s="68" t="s">
        <v>86</v>
      </c>
      <c r="F32" s="69">
        <v>3000000</v>
      </c>
      <c r="G32" s="69">
        <v>0</v>
      </c>
      <c r="H32" s="69">
        <v>0</v>
      </c>
      <c r="I32" s="69">
        <v>0</v>
      </c>
      <c r="J32" s="69">
        <v>0</v>
      </c>
      <c r="K32" s="69">
        <v>0</v>
      </c>
      <c r="L32" s="69">
        <v>0</v>
      </c>
      <c r="M32" s="69">
        <v>0</v>
      </c>
      <c r="N32" s="69">
        <v>-57416</v>
      </c>
      <c r="O32" s="75">
        <f t="shared" si="0"/>
        <v>2942584</v>
      </c>
      <c r="P32" s="69">
        <v>135000</v>
      </c>
      <c r="Q32" s="69">
        <v>106350</v>
      </c>
      <c r="R32" s="69">
        <v>0</v>
      </c>
      <c r="S32" s="69">
        <v>26480</v>
      </c>
      <c r="T32" s="69">
        <v>13770</v>
      </c>
      <c r="U32" s="69">
        <v>0</v>
      </c>
      <c r="V32" s="61">
        <v>74350</v>
      </c>
      <c r="W32" s="69">
        <v>7430</v>
      </c>
      <c r="X32" s="69">
        <f t="shared" si="1"/>
        <v>363380</v>
      </c>
      <c r="Y32" s="72">
        <f t="shared" si="2"/>
        <v>2579204</v>
      </c>
    </row>
    <row r="33" spans="2:25" ht="23.1" customHeight="1" x14ac:dyDescent="0.3">
      <c r="B33" s="73">
        <v>45839</v>
      </c>
      <c r="C33" s="68" t="s">
        <v>142</v>
      </c>
      <c r="D33" s="68" t="s">
        <v>55</v>
      </c>
      <c r="E33" s="68" t="s">
        <v>84</v>
      </c>
      <c r="F33" s="69">
        <v>3250000</v>
      </c>
      <c r="G33" s="69">
        <v>0</v>
      </c>
      <c r="H33" s="69">
        <v>0</v>
      </c>
      <c r="I33" s="69">
        <v>0</v>
      </c>
      <c r="J33" s="69">
        <v>0</v>
      </c>
      <c r="K33" s="69">
        <v>0</v>
      </c>
      <c r="L33" s="69">
        <v>0</v>
      </c>
      <c r="M33" s="69">
        <v>0</v>
      </c>
      <c r="N33" s="69">
        <v>0</v>
      </c>
      <c r="O33" s="75">
        <f t="shared" si="0"/>
        <v>3250000</v>
      </c>
      <c r="P33" s="69">
        <v>146250</v>
      </c>
      <c r="Q33" s="69">
        <v>115210</v>
      </c>
      <c r="R33" s="69">
        <v>0</v>
      </c>
      <c r="S33" s="69">
        <v>29250</v>
      </c>
      <c r="T33" s="69">
        <v>14920</v>
      </c>
      <c r="U33" s="69">
        <v>0</v>
      </c>
      <c r="V33" s="69">
        <v>95430</v>
      </c>
      <c r="W33" s="69">
        <v>9540</v>
      </c>
      <c r="X33" s="69">
        <f t="shared" si="1"/>
        <v>410600</v>
      </c>
      <c r="Y33" s="72">
        <f t="shared" si="2"/>
        <v>2839400</v>
      </c>
    </row>
    <row r="34" spans="2:25" ht="23.1" customHeight="1" thickBot="1" x14ac:dyDescent="0.35">
      <c r="B34" s="78">
        <v>45943</v>
      </c>
      <c r="C34" s="128" t="s">
        <v>56</v>
      </c>
      <c r="D34" s="128" t="s">
        <v>57</v>
      </c>
      <c r="E34" s="128" t="s">
        <v>86</v>
      </c>
      <c r="F34" s="79">
        <v>3166667</v>
      </c>
      <c r="G34" s="79">
        <v>0</v>
      </c>
      <c r="H34" s="79">
        <v>0</v>
      </c>
      <c r="I34" s="79">
        <v>0</v>
      </c>
      <c r="J34" s="79">
        <v>0</v>
      </c>
      <c r="K34" s="79">
        <v>0</v>
      </c>
      <c r="L34" s="79">
        <v>0</v>
      </c>
      <c r="M34" s="79">
        <v>0</v>
      </c>
      <c r="N34" s="79">
        <v>0</v>
      </c>
      <c r="O34" s="80">
        <f t="shared" si="0"/>
        <v>3166667</v>
      </c>
      <c r="P34" s="79">
        <v>0</v>
      </c>
      <c r="Q34" s="79">
        <v>112250</v>
      </c>
      <c r="R34" s="79">
        <v>0</v>
      </c>
      <c r="S34" s="79">
        <v>28500</v>
      </c>
      <c r="T34" s="79">
        <v>14530</v>
      </c>
      <c r="U34" s="79">
        <v>0</v>
      </c>
      <c r="V34" s="79">
        <v>18010</v>
      </c>
      <c r="W34" s="79">
        <v>1800</v>
      </c>
      <c r="X34" s="79">
        <f t="shared" si="1"/>
        <v>175090</v>
      </c>
      <c r="Y34" s="81">
        <f t="shared" si="2"/>
        <v>2991577</v>
      </c>
    </row>
    <row r="35" spans="2:25" ht="22.6" customHeight="1" thickBot="1" x14ac:dyDescent="0.35">
      <c r="B35" s="82" t="s">
        <v>98</v>
      </c>
      <c r="C35" s="113" t="s">
        <v>89</v>
      </c>
      <c r="D35" s="91"/>
      <c r="E35" s="84"/>
      <c r="F35" s="85">
        <f t="shared" ref="F35:Y35" si="3">SUM(F5:F34)</f>
        <v>145193750</v>
      </c>
      <c r="G35" s="86">
        <f t="shared" si="3"/>
        <v>2000000</v>
      </c>
      <c r="H35" s="86">
        <f t="shared" si="3"/>
        <v>50000</v>
      </c>
      <c r="I35" s="86">
        <f t="shared" si="3"/>
        <v>0</v>
      </c>
      <c r="J35" s="86">
        <f t="shared" si="3"/>
        <v>1000000</v>
      </c>
      <c r="K35" s="86">
        <f t="shared" si="3"/>
        <v>0</v>
      </c>
      <c r="L35" s="86">
        <f t="shared" si="3"/>
        <v>0</v>
      </c>
      <c r="M35" s="86">
        <f t="shared" si="3"/>
        <v>6058673</v>
      </c>
      <c r="N35" s="86">
        <f t="shared" si="3"/>
        <v>-57416</v>
      </c>
      <c r="O35" s="87">
        <f t="shared" si="0"/>
        <v>154245007</v>
      </c>
      <c r="P35" s="88">
        <f t="shared" si="3"/>
        <v>4357550</v>
      </c>
      <c r="Q35" s="88">
        <f t="shared" si="3"/>
        <v>5103250</v>
      </c>
      <c r="R35" s="88">
        <f t="shared" si="3"/>
        <v>73210</v>
      </c>
      <c r="S35" s="88">
        <f t="shared" si="3"/>
        <v>1093910</v>
      </c>
      <c r="T35" s="88">
        <f t="shared" si="3"/>
        <v>660790</v>
      </c>
      <c r="U35" s="88">
        <f t="shared" si="3"/>
        <v>0</v>
      </c>
      <c r="V35" s="103">
        <f t="shared" si="3"/>
        <v>20017930</v>
      </c>
      <c r="W35" s="88">
        <f t="shared" si="3"/>
        <v>2001700</v>
      </c>
      <c r="X35" s="88">
        <f t="shared" si="3"/>
        <v>33308340</v>
      </c>
      <c r="Y35" s="89">
        <f t="shared" si="3"/>
        <v>120936667</v>
      </c>
    </row>
    <row r="36" spans="2:25" x14ac:dyDescent="0.3">
      <c r="B36" s="43"/>
      <c r="C36" s="43"/>
      <c r="D36" s="43"/>
      <c r="E36" s="43"/>
      <c r="F36" s="90"/>
      <c r="G36" s="90"/>
      <c r="H36" s="90"/>
      <c r="I36" s="90"/>
      <c r="J36" s="90"/>
      <c r="K36" s="90"/>
      <c r="L36" s="90"/>
      <c r="M36" s="90"/>
      <c r="N36" s="90"/>
      <c r="O36" s="58"/>
      <c r="P36" s="90"/>
      <c r="Q36" s="90"/>
      <c r="R36" s="90"/>
      <c r="S36" s="90"/>
      <c r="T36" s="90"/>
      <c r="U36" s="90"/>
      <c r="V36" s="90"/>
      <c r="W36" s="90"/>
      <c r="X36" s="90"/>
      <c r="Y36" s="90"/>
    </row>
    <row r="37" spans="2:25" x14ac:dyDescent="0.3"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123"/>
      <c r="P37" s="90"/>
      <c r="Q37" s="90"/>
      <c r="R37" s="90"/>
      <c r="S37" s="90"/>
      <c r="T37" s="90"/>
      <c r="U37" s="90"/>
      <c r="V37" s="90"/>
      <c r="W37" s="90"/>
      <c r="X37" s="90"/>
      <c r="Y37" s="90"/>
    </row>
    <row r="38" spans="2:25" x14ac:dyDescent="0.3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65"/>
      <c r="P38" s="90"/>
      <c r="Q38" s="90"/>
      <c r="R38" s="90"/>
      <c r="S38" s="90"/>
      <c r="T38" s="90"/>
      <c r="U38" s="90"/>
      <c r="V38" s="90"/>
      <c r="W38" s="90"/>
      <c r="X38" s="90"/>
      <c r="Y38" s="90"/>
    </row>
    <row r="39" spans="2:25" x14ac:dyDescent="0.3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90"/>
      <c r="Q39" s="90"/>
      <c r="R39" s="90"/>
      <c r="S39" s="90"/>
      <c r="T39" s="90"/>
      <c r="U39" s="90"/>
      <c r="V39" s="90"/>
      <c r="W39" s="90"/>
      <c r="X39" s="90"/>
      <c r="Y39" s="90"/>
    </row>
  </sheetData>
  <autoFilter ref="B4:Y36" xr:uid="{96A176D9-9763-41D5-A12C-84F947B15C5C}"/>
  <phoneticPr fontId="2" type="noConversion"/>
  <pageMargins left="0.36" right="0.11811023622047245" top="0.74803149606299213" bottom="0.74803149606299213" header="0.31496062992125984" footer="0.31496062992125984"/>
  <pageSetup paperSize="9" scale="5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D5757-2300-4364-8945-57B0719AA663}">
  <dimension ref="B1:Y39"/>
  <sheetViews>
    <sheetView showGridLines="0" zoomScale="80" zoomScaleNormal="80" workbookViewId="0"/>
  </sheetViews>
  <sheetFormatPr defaultColWidth="9.08984375" defaultRowHeight="13.45" x14ac:dyDescent="0.3"/>
  <cols>
    <col min="1" max="1" width="2" style="42" customWidth="1"/>
    <col min="2" max="2" width="13.54296875" style="42" bestFit="1" customWidth="1"/>
    <col min="3" max="4" width="19" style="42" bestFit="1" customWidth="1"/>
    <col min="5" max="5" width="14.6328125" style="42" bestFit="1" customWidth="1"/>
    <col min="6" max="7" width="13.6328125" style="42" customWidth="1"/>
    <col min="8" max="8" width="23" style="42" customWidth="1"/>
    <col min="9" max="9" width="13.54296875" style="42" bestFit="1" customWidth="1"/>
    <col min="10" max="12" width="14.81640625" style="42" customWidth="1"/>
    <col min="13" max="13" width="15.1796875" style="42" bestFit="1" customWidth="1"/>
    <col min="14" max="14" width="15.1796875" style="42" customWidth="1"/>
    <col min="15" max="15" width="12.6328125" style="42" customWidth="1"/>
    <col min="16" max="16" width="11.54296875" style="42" customWidth="1"/>
    <col min="17" max="17" width="11.453125" style="42" customWidth="1"/>
    <col min="18" max="18" width="19.1796875" style="42" customWidth="1"/>
    <col min="19" max="19" width="11.08984375" style="42" customWidth="1"/>
    <col min="20" max="20" width="15.453125" style="42" customWidth="1"/>
    <col min="21" max="21" width="15.1796875" style="42" bestFit="1" customWidth="1"/>
    <col min="22" max="22" width="12.1796875" style="42" customWidth="1"/>
    <col min="23" max="23" width="12.453125" style="42" customWidth="1"/>
    <col min="24" max="24" width="18.453125" style="42" customWidth="1"/>
    <col min="25" max="25" width="20" style="42" customWidth="1"/>
    <col min="26" max="26" width="9.08984375" style="42"/>
    <col min="27" max="27" width="12.6328125" style="42" bestFit="1" customWidth="1"/>
    <col min="28" max="16384" width="9.08984375" style="42"/>
  </cols>
  <sheetData>
    <row r="1" spans="2:25" ht="9.8000000000000007" customHeight="1" x14ac:dyDescent="0.3"/>
    <row r="2" spans="2:25" s="135" customFormat="1" ht="26.35" customHeight="1" x14ac:dyDescent="0.4">
      <c r="B2" s="133" t="s">
        <v>100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</row>
    <row r="3" spans="2:25" ht="20.3" customHeight="1" thickBot="1" x14ac:dyDescent="0.35"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4" t="s">
        <v>83</v>
      </c>
    </row>
    <row r="4" spans="2:25" s="51" customFormat="1" ht="54.3" thickBot="1" x14ac:dyDescent="0.35">
      <c r="B4" s="45" t="s">
        <v>59</v>
      </c>
      <c r="C4" s="46" t="s">
        <v>60</v>
      </c>
      <c r="D4" s="124" t="s">
        <v>61</v>
      </c>
      <c r="E4" s="47" t="s">
        <v>62</v>
      </c>
      <c r="F4" s="48" t="s">
        <v>63</v>
      </c>
      <c r="G4" s="49" t="s">
        <v>64</v>
      </c>
      <c r="H4" s="108" t="s">
        <v>65</v>
      </c>
      <c r="I4" s="49" t="s">
        <v>66</v>
      </c>
      <c r="J4" s="108" t="s">
        <v>67</v>
      </c>
      <c r="K4" s="49" t="s">
        <v>68</v>
      </c>
      <c r="L4" s="108" t="s">
        <v>69</v>
      </c>
      <c r="M4" s="46" t="s">
        <v>70</v>
      </c>
      <c r="N4" s="124" t="s">
        <v>96</v>
      </c>
      <c r="O4" s="47" t="s">
        <v>71</v>
      </c>
      <c r="P4" s="109" t="s">
        <v>72</v>
      </c>
      <c r="Q4" s="110" t="s">
        <v>73</v>
      </c>
      <c r="R4" s="110" t="s">
        <v>74</v>
      </c>
      <c r="S4" s="110" t="s">
        <v>75</v>
      </c>
      <c r="T4" s="110" t="s">
        <v>76</v>
      </c>
      <c r="U4" s="50" t="s">
        <v>77</v>
      </c>
      <c r="V4" s="110" t="s">
        <v>79</v>
      </c>
      <c r="W4" s="110" t="s">
        <v>80</v>
      </c>
      <c r="X4" s="49" t="s">
        <v>81</v>
      </c>
      <c r="Y4" s="47" t="s">
        <v>82</v>
      </c>
    </row>
    <row r="5" spans="2:25" ht="23.1" customHeight="1" x14ac:dyDescent="0.3">
      <c r="B5" s="52" t="s">
        <v>1</v>
      </c>
      <c r="C5" s="53" t="s">
        <v>0</v>
      </c>
      <c r="D5" s="53" t="str">
        <f>C5</f>
        <v>Shin Jonghoon Bryan</v>
      </c>
      <c r="E5" s="53" t="s">
        <v>85</v>
      </c>
      <c r="F5" s="96">
        <v>30685417</v>
      </c>
      <c r="G5" s="96">
        <v>2000000</v>
      </c>
      <c r="H5" s="96">
        <v>0</v>
      </c>
      <c r="I5" s="107">
        <v>0</v>
      </c>
      <c r="J5" s="61">
        <v>0</v>
      </c>
      <c r="K5" s="107">
        <v>0</v>
      </c>
      <c r="L5" s="107">
        <v>0</v>
      </c>
      <c r="M5" s="96">
        <v>0</v>
      </c>
      <c r="N5" s="104">
        <v>0</v>
      </c>
      <c r="O5" s="97">
        <f t="shared" ref="O5:O35" si="0">SUM(F5:N5)</f>
        <v>32685417</v>
      </c>
      <c r="P5" s="96">
        <v>286650</v>
      </c>
      <c r="Q5" s="96">
        <v>1160390</v>
      </c>
      <c r="R5" s="96">
        <v>0</v>
      </c>
      <c r="S5" s="96">
        <v>0</v>
      </c>
      <c r="T5" s="96">
        <v>150270</v>
      </c>
      <c r="U5" s="96">
        <v>0</v>
      </c>
      <c r="V5" s="96">
        <v>9669600</v>
      </c>
      <c r="W5" s="96">
        <v>966960</v>
      </c>
      <c r="X5" s="98">
        <f t="shared" ref="X5:X34" si="1">SUM(P5:W5)</f>
        <v>12233870</v>
      </c>
      <c r="Y5" s="99">
        <f t="shared" ref="Y5:Y34" si="2">O5-X5</f>
        <v>20451547</v>
      </c>
    </row>
    <row r="6" spans="2:25" ht="23.1" customHeight="1" x14ac:dyDescent="0.3">
      <c r="B6" s="100">
        <v>45809</v>
      </c>
      <c r="C6" s="101" t="s">
        <v>136</v>
      </c>
      <c r="D6" s="101" t="s">
        <v>29</v>
      </c>
      <c r="E6" s="101" t="s">
        <v>85</v>
      </c>
      <c r="F6" s="61">
        <v>12500000</v>
      </c>
      <c r="G6" s="61">
        <v>0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6058673</v>
      </c>
      <c r="N6" s="105">
        <v>0</v>
      </c>
      <c r="O6" s="62">
        <f t="shared" si="0"/>
        <v>18558673</v>
      </c>
      <c r="P6" s="61">
        <v>261990</v>
      </c>
      <c r="Q6" s="61">
        <v>443120</v>
      </c>
      <c r="R6" s="61">
        <v>0</v>
      </c>
      <c r="S6" s="61">
        <v>-835100</v>
      </c>
      <c r="T6" s="61">
        <v>57380</v>
      </c>
      <c r="U6" s="61">
        <v>0</v>
      </c>
      <c r="V6" s="61">
        <v>4602040</v>
      </c>
      <c r="W6" s="61">
        <v>460200</v>
      </c>
      <c r="X6" s="63">
        <f t="shared" si="1"/>
        <v>4989630</v>
      </c>
      <c r="Y6" s="64">
        <f t="shared" si="2"/>
        <v>13569043</v>
      </c>
    </row>
    <row r="7" spans="2:25" ht="23.1" customHeight="1" x14ac:dyDescent="0.3">
      <c r="B7" s="59" t="s">
        <v>15</v>
      </c>
      <c r="C7" s="60" t="s">
        <v>114</v>
      </c>
      <c r="D7" s="60" t="s">
        <v>22</v>
      </c>
      <c r="E7" s="60" t="s">
        <v>86</v>
      </c>
      <c r="F7" s="61">
        <v>0</v>
      </c>
      <c r="G7" s="61">
        <v>0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105">
        <v>0</v>
      </c>
      <c r="O7" s="62">
        <f t="shared" si="0"/>
        <v>0</v>
      </c>
      <c r="P7" s="61">
        <v>0</v>
      </c>
      <c r="Q7" s="61">
        <v>0</v>
      </c>
      <c r="R7" s="61">
        <v>0</v>
      </c>
      <c r="S7" s="61">
        <v>0</v>
      </c>
      <c r="T7" s="61">
        <v>0</v>
      </c>
      <c r="U7" s="61">
        <v>0</v>
      </c>
      <c r="V7" s="61">
        <v>0</v>
      </c>
      <c r="W7" s="61">
        <v>0</v>
      </c>
      <c r="X7" s="63">
        <f t="shared" si="1"/>
        <v>0</v>
      </c>
      <c r="Y7" s="64">
        <f t="shared" si="2"/>
        <v>0</v>
      </c>
    </row>
    <row r="8" spans="2:25" ht="23.1" customHeight="1" x14ac:dyDescent="0.3">
      <c r="B8" s="59" t="s">
        <v>2</v>
      </c>
      <c r="C8" s="60" t="s">
        <v>115</v>
      </c>
      <c r="D8" s="60" t="s">
        <v>23</v>
      </c>
      <c r="E8" s="60" t="s">
        <v>86</v>
      </c>
      <c r="F8" s="61">
        <v>7041667</v>
      </c>
      <c r="G8" s="61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105">
        <v>0</v>
      </c>
      <c r="O8" s="62">
        <f t="shared" si="0"/>
        <v>7041667</v>
      </c>
      <c r="P8" s="61">
        <v>286650</v>
      </c>
      <c r="Q8" s="61">
        <v>241550</v>
      </c>
      <c r="R8" s="61">
        <v>0</v>
      </c>
      <c r="S8" s="61">
        <v>63370</v>
      </c>
      <c r="T8" s="61">
        <v>31280</v>
      </c>
      <c r="U8" s="61">
        <v>0</v>
      </c>
      <c r="V8" s="61">
        <v>535800</v>
      </c>
      <c r="W8" s="61">
        <v>53580</v>
      </c>
      <c r="X8" s="63">
        <f t="shared" si="1"/>
        <v>1212230</v>
      </c>
      <c r="Y8" s="64">
        <f t="shared" si="2"/>
        <v>5829437</v>
      </c>
    </row>
    <row r="9" spans="2:25" ht="23.1" customHeight="1" x14ac:dyDescent="0.3">
      <c r="B9" s="59" t="s">
        <v>3</v>
      </c>
      <c r="C9" s="60" t="s">
        <v>116</v>
      </c>
      <c r="D9" s="60" t="s">
        <v>24</v>
      </c>
      <c r="E9" s="60" t="s">
        <v>84</v>
      </c>
      <c r="F9" s="61">
        <v>3416667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105">
        <v>0</v>
      </c>
      <c r="O9" s="62">
        <f t="shared" si="0"/>
        <v>3416667</v>
      </c>
      <c r="P9" s="61">
        <v>139900</v>
      </c>
      <c r="Q9" s="61">
        <v>112060</v>
      </c>
      <c r="R9" s="61">
        <v>0</v>
      </c>
      <c r="S9" s="61">
        <v>30750</v>
      </c>
      <c r="T9" s="61">
        <v>14510</v>
      </c>
      <c r="U9" s="61">
        <v>0</v>
      </c>
      <c r="V9" s="61">
        <v>114990</v>
      </c>
      <c r="W9" s="61">
        <v>11490</v>
      </c>
      <c r="X9" s="63">
        <f t="shared" si="1"/>
        <v>423700</v>
      </c>
      <c r="Y9" s="64">
        <f t="shared" si="2"/>
        <v>2992967</v>
      </c>
    </row>
    <row r="10" spans="2:25" ht="23.1" customHeight="1" x14ac:dyDescent="0.3">
      <c r="B10" s="59" t="s">
        <v>4</v>
      </c>
      <c r="C10" s="60" t="s">
        <v>117</v>
      </c>
      <c r="D10" s="60" t="s">
        <v>25</v>
      </c>
      <c r="E10" s="60" t="s">
        <v>84</v>
      </c>
      <c r="F10" s="61">
        <v>0</v>
      </c>
      <c r="G10" s="61">
        <v>0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105">
        <v>0</v>
      </c>
      <c r="O10" s="62">
        <f t="shared" si="0"/>
        <v>0</v>
      </c>
      <c r="P10" s="61">
        <v>0</v>
      </c>
      <c r="Q10" s="61">
        <v>0</v>
      </c>
      <c r="R10" s="61">
        <v>0</v>
      </c>
      <c r="S10" s="61">
        <v>0</v>
      </c>
      <c r="T10" s="61">
        <v>0</v>
      </c>
      <c r="U10" s="61">
        <v>0</v>
      </c>
      <c r="V10" s="61">
        <v>0</v>
      </c>
      <c r="W10" s="61">
        <v>0</v>
      </c>
      <c r="X10" s="63">
        <f t="shared" si="1"/>
        <v>0</v>
      </c>
      <c r="Y10" s="64">
        <f t="shared" si="2"/>
        <v>0</v>
      </c>
    </row>
    <row r="11" spans="2:25" ht="23.1" customHeight="1" x14ac:dyDescent="0.3">
      <c r="B11" s="59" t="s">
        <v>5</v>
      </c>
      <c r="C11" s="60" t="s">
        <v>118</v>
      </c>
      <c r="D11" s="60" t="s">
        <v>26</v>
      </c>
      <c r="E11" s="60" t="s">
        <v>86</v>
      </c>
      <c r="F11" s="61">
        <v>3750000</v>
      </c>
      <c r="G11" s="61">
        <v>0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105">
        <v>0</v>
      </c>
      <c r="O11" s="62">
        <f t="shared" si="0"/>
        <v>3750000</v>
      </c>
      <c r="P11" s="61">
        <v>159340</v>
      </c>
      <c r="Q11" s="61">
        <v>120230</v>
      </c>
      <c r="R11" s="61">
        <v>0</v>
      </c>
      <c r="S11" s="61">
        <v>33750</v>
      </c>
      <c r="T11" s="61">
        <v>15570</v>
      </c>
      <c r="U11" s="61">
        <v>0</v>
      </c>
      <c r="V11" s="61">
        <v>156560</v>
      </c>
      <c r="W11" s="61">
        <v>15650</v>
      </c>
      <c r="X11" s="63">
        <f t="shared" si="1"/>
        <v>501100</v>
      </c>
      <c r="Y11" s="64">
        <f t="shared" si="2"/>
        <v>3248900</v>
      </c>
    </row>
    <row r="12" spans="2:25" ht="23.1" customHeight="1" x14ac:dyDescent="0.3">
      <c r="B12" s="59" t="s">
        <v>6</v>
      </c>
      <c r="C12" s="60" t="s">
        <v>119</v>
      </c>
      <c r="D12" s="60" t="s">
        <v>27</v>
      </c>
      <c r="E12" s="60" t="s">
        <v>86</v>
      </c>
      <c r="F12" s="61">
        <v>0</v>
      </c>
      <c r="G12" s="61">
        <v>0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105">
        <v>0</v>
      </c>
      <c r="O12" s="62">
        <f t="shared" si="0"/>
        <v>0</v>
      </c>
      <c r="P12" s="61">
        <v>0</v>
      </c>
      <c r="Q12" s="61">
        <v>0</v>
      </c>
      <c r="R12" s="61">
        <v>0</v>
      </c>
      <c r="S12" s="61">
        <v>0</v>
      </c>
      <c r="T12" s="61">
        <v>0</v>
      </c>
      <c r="U12" s="61">
        <v>0</v>
      </c>
      <c r="V12" s="61">
        <v>0</v>
      </c>
      <c r="W12" s="61">
        <v>0</v>
      </c>
      <c r="X12" s="63">
        <f t="shared" si="1"/>
        <v>0</v>
      </c>
      <c r="Y12" s="64">
        <f t="shared" si="2"/>
        <v>0</v>
      </c>
    </row>
    <row r="13" spans="2:25" ht="23.1" customHeight="1" x14ac:dyDescent="0.3">
      <c r="B13" s="59" t="s">
        <v>7</v>
      </c>
      <c r="C13" s="60" t="s">
        <v>120</v>
      </c>
      <c r="D13" s="60" t="s">
        <v>28</v>
      </c>
      <c r="E13" s="60" t="s">
        <v>84</v>
      </c>
      <c r="F13" s="61">
        <v>4500000</v>
      </c>
      <c r="G13" s="61">
        <v>0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105">
        <v>0</v>
      </c>
      <c r="O13" s="62">
        <f t="shared" si="0"/>
        <v>4500000</v>
      </c>
      <c r="P13" s="61">
        <v>170100</v>
      </c>
      <c r="Q13" s="61">
        <v>136260</v>
      </c>
      <c r="R13" s="61">
        <v>0</v>
      </c>
      <c r="S13" s="61">
        <v>40500</v>
      </c>
      <c r="T13" s="61">
        <v>17640</v>
      </c>
      <c r="U13" s="61">
        <v>0</v>
      </c>
      <c r="V13" s="61">
        <v>262840</v>
      </c>
      <c r="W13" s="61">
        <v>26280</v>
      </c>
      <c r="X13" s="63">
        <f t="shared" si="1"/>
        <v>653620</v>
      </c>
      <c r="Y13" s="64">
        <f t="shared" si="2"/>
        <v>3846380</v>
      </c>
    </row>
    <row r="14" spans="2:25" ht="23.1" customHeight="1" x14ac:dyDescent="0.3">
      <c r="B14" s="59" t="s">
        <v>9</v>
      </c>
      <c r="C14" s="60" t="s">
        <v>122</v>
      </c>
      <c r="D14" s="60" t="s">
        <v>30</v>
      </c>
      <c r="E14" s="60" t="s">
        <v>87</v>
      </c>
      <c r="F14" s="61">
        <v>4025000</v>
      </c>
      <c r="G14" s="61">
        <v>0</v>
      </c>
      <c r="H14" s="61">
        <v>0</v>
      </c>
      <c r="I14" s="61">
        <v>0</v>
      </c>
      <c r="J14" s="61">
        <v>0</v>
      </c>
      <c r="K14" s="61">
        <v>0</v>
      </c>
      <c r="L14" s="61">
        <v>0</v>
      </c>
      <c r="M14" s="61">
        <v>0</v>
      </c>
      <c r="N14" s="105">
        <v>0</v>
      </c>
      <c r="O14" s="62">
        <f t="shared" si="0"/>
        <v>4025000</v>
      </c>
      <c r="P14" s="61">
        <v>189630</v>
      </c>
      <c r="Q14" s="61">
        <v>151880</v>
      </c>
      <c r="R14" s="61">
        <v>0</v>
      </c>
      <c r="S14" s="61">
        <v>36220</v>
      </c>
      <c r="T14" s="61">
        <v>19660</v>
      </c>
      <c r="U14" s="61">
        <v>0</v>
      </c>
      <c r="V14" s="61">
        <v>198630</v>
      </c>
      <c r="W14" s="61">
        <v>19860</v>
      </c>
      <c r="X14" s="63">
        <f t="shared" si="1"/>
        <v>615880</v>
      </c>
      <c r="Y14" s="64">
        <f t="shared" si="2"/>
        <v>3409120</v>
      </c>
    </row>
    <row r="15" spans="2:25" ht="23.1" customHeight="1" x14ac:dyDescent="0.3">
      <c r="B15" s="59" t="s">
        <v>10</v>
      </c>
      <c r="C15" s="60" t="s">
        <v>123</v>
      </c>
      <c r="D15" s="60" t="s">
        <v>31</v>
      </c>
      <c r="E15" s="60" t="s">
        <v>86</v>
      </c>
      <c r="F15" s="61">
        <v>10333333</v>
      </c>
      <c r="G15" s="61">
        <v>0</v>
      </c>
      <c r="H15" s="61">
        <v>0</v>
      </c>
      <c r="I15" s="61">
        <v>0</v>
      </c>
      <c r="J15" s="61">
        <v>0</v>
      </c>
      <c r="K15" s="61">
        <v>0</v>
      </c>
      <c r="L15" s="61">
        <v>0</v>
      </c>
      <c r="M15" s="61">
        <v>0</v>
      </c>
      <c r="N15" s="105">
        <v>0</v>
      </c>
      <c r="O15" s="62">
        <f t="shared" si="0"/>
        <v>10333333</v>
      </c>
      <c r="P15" s="61">
        <v>286650</v>
      </c>
      <c r="Q15" s="61">
        <v>390540</v>
      </c>
      <c r="R15" s="61">
        <v>0</v>
      </c>
      <c r="S15" s="61">
        <v>92990</v>
      </c>
      <c r="T15" s="61">
        <v>50570</v>
      </c>
      <c r="U15" s="61">
        <v>0</v>
      </c>
      <c r="V15" s="61">
        <v>1646730</v>
      </c>
      <c r="W15" s="61">
        <v>164670</v>
      </c>
      <c r="X15" s="63">
        <f t="shared" si="1"/>
        <v>2632150</v>
      </c>
      <c r="Y15" s="64">
        <f t="shared" si="2"/>
        <v>7701183</v>
      </c>
    </row>
    <row r="16" spans="2:25" ht="23.1" customHeight="1" x14ac:dyDescent="0.3">
      <c r="B16" s="66">
        <v>41699</v>
      </c>
      <c r="C16" s="60" t="s">
        <v>124</v>
      </c>
      <c r="D16" s="60" t="s">
        <v>32</v>
      </c>
      <c r="E16" s="60" t="s">
        <v>86</v>
      </c>
      <c r="F16" s="61">
        <v>6458333</v>
      </c>
      <c r="G16" s="61">
        <v>0</v>
      </c>
      <c r="H16" s="61">
        <v>0</v>
      </c>
      <c r="I16" s="61">
        <v>0</v>
      </c>
      <c r="J16" s="61">
        <v>0</v>
      </c>
      <c r="K16" s="61">
        <v>0</v>
      </c>
      <c r="L16" s="61">
        <v>0</v>
      </c>
      <c r="M16" s="61">
        <v>0</v>
      </c>
      <c r="N16" s="105">
        <v>0</v>
      </c>
      <c r="O16" s="62">
        <f t="shared" si="0"/>
        <v>6458333</v>
      </c>
      <c r="P16" s="61">
        <v>277290</v>
      </c>
      <c r="Q16" s="61">
        <v>222110</v>
      </c>
      <c r="R16" s="61">
        <v>0</v>
      </c>
      <c r="S16" s="61">
        <v>58120</v>
      </c>
      <c r="T16" s="61">
        <v>28760</v>
      </c>
      <c r="U16" s="61">
        <v>0</v>
      </c>
      <c r="V16" s="61">
        <v>557960</v>
      </c>
      <c r="W16" s="61">
        <v>55790</v>
      </c>
      <c r="X16" s="63">
        <f t="shared" si="1"/>
        <v>1200030</v>
      </c>
      <c r="Y16" s="64">
        <f t="shared" si="2"/>
        <v>5258303</v>
      </c>
    </row>
    <row r="17" spans="2:25" ht="23.1" customHeight="1" x14ac:dyDescent="0.3">
      <c r="B17" s="59" t="s">
        <v>11</v>
      </c>
      <c r="C17" s="60" t="s">
        <v>125</v>
      </c>
      <c r="D17" s="60" t="s">
        <v>33</v>
      </c>
      <c r="E17" s="60" t="s">
        <v>87</v>
      </c>
      <c r="F17" s="61">
        <v>3766667</v>
      </c>
      <c r="G17" s="61">
        <v>0</v>
      </c>
      <c r="H17" s="61">
        <v>0</v>
      </c>
      <c r="I17" s="61">
        <v>0</v>
      </c>
      <c r="J17" s="61">
        <v>0</v>
      </c>
      <c r="K17" s="61">
        <v>0</v>
      </c>
      <c r="L17" s="61">
        <v>0</v>
      </c>
      <c r="M17" s="61">
        <v>0</v>
      </c>
      <c r="N17" s="105">
        <v>0</v>
      </c>
      <c r="O17" s="62">
        <f t="shared" si="0"/>
        <v>3766667</v>
      </c>
      <c r="P17" s="61">
        <v>178330</v>
      </c>
      <c r="Q17" s="61">
        <v>142860</v>
      </c>
      <c r="R17" s="61">
        <v>0</v>
      </c>
      <c r="S17" s="61">
        <v>33900</v>
      </c>
      <c r="T17" s="61">
        <v>18500</v>
      </c>
      <c r="U17" s="61">
        <v>0</v>
      </c>
      <c r="V17" s="61">
        <v>163920</v>
      </c>
      <c r="W17" s="61">
        <v>16390</v>
      </c>
      <c r="X17" s="63">
        <f t="shared" si="1"/>
        <v>553900</v>
      </c>
      <c r="Y17" s="64">
        <f t="shared" si="2"/>
        <v>3212767</v>
      </c>
    </row>
    <row r="18" spans="2:25" ht="23.1" customHeight="1" x14ac:dyDescent="0.3">
      <c r="B18" s="59" t="s">
        <v>12</v>
      </c>
      <c r="C18" s="60" t="s">
        <v>126</v>
      </c>
      <c r="D18" s="60" t="s">
        <v>34</v>
      </c>
      <c r="E18" s="60" t="s">
        <v>87</v>
      </c>
      <c r="F18" s="61">
        <v>4800000</v>
      </c>
      <c r="G18" s="61">
        <v>0</v>
      </c>
      <c r="H18" s="61">
        <v>50000</v>
      </c>
      <c r="I18" s="61">
        <v>0</v>
      </c>
      <c r="J18" s="61">
        <v>0</v>
      </c>
      <c r="K18" s="61">
        <v>0</v>
      </c>
      <c r="L18" s="61">
        <v>0</v>
      </c>
      <c r="M18" s="61">
        <v>0</v>
      </c>
      <c r="N18" s="105">
        <v>0</v>
      </c>
      <c r="O18" s="62">
        <f t="shared" si="0"/>
        <v>4850000</v>
      </c>
      <c r="P18" s="61">
        <v>223830</v>
      </c>
      <c r="Q18" s="61">
        <v>179300</v>
      </c>
      <c r="R18" s="61">
        <v>0</v>
      </c>
      <c r="S18" s="61">
        <v>43650</v>
      </c>
      <c r="T18" s="61">
        <v>23220</v>
      </c>
      <c r="U18" s="61">
        <v>0</v>
      </c>
      <c r="V18" s="61">
        <v>313030</v>
      </c>
      <c r="W18" s="61">
        <v>31300</v>
      </c>
      <c r="X18" s="63">
        <f t="shared" si="1"/>
        <v>814330</v>
      </c>
      <c r="Y18" s="64">
        <f t="shared" si="2"/>
        <v>4035670</v>
      </c>
    </row>
    <row r="19" spans="2:25" ht="23.1" customHeight="1" x14ac:dyDescent="0.3">
      <c r="B19" s="59" t="s">
        <v>13</v>
      </c>
      <c r="C19" s="60" t="s">
        <v>127</v>
      </c>
      <c r="D19" s="60" t="s">
        <v>35</v>
      </c>
      <c r="E19" s="60" t="s">
        <v>87</v>
      </c>
      <c r="F19" s="61">
        <v>3433333</v>
      </c>
      <c r="G19" s="61">
        <v>0</v>
      </c>
      <c r="H19" s="61">
        <v>0</v>
      </c>
      <c r="I19" s="61">
        <v>0</v>
      </c>
      <c r="J19" s="61">
        <v>1000000</v>
      </c>
      <c r="K19" s="61">
        <v>0</v>
      </c>
      <c r="L19" s="61">
        <v>0</v>
      </c>
      <c r="M19" s="61">
        <v>0</v>
      </c>
      <c r="N19" s="105">
        <v>0</v>
      </c>
      <c r="O19" s="62">
        <f t="shared" si="0"/>
        <v>4433333</v>
      </c>
      <c r="P19" s="61">
        <v>154480</v>
      </c>
      <c r="Q19" s="61">
        <v>121710</v>
      </c>
      <c r="R19" s="61">
        <v>0</v>
      </c>
      <c r="S19" s="61">
        <v>39890</v>
      </c>
      <c r="T19" s="61">
        <v>15760</v>
      </c>
      <c r="U19" s="61">
        <v>0</v>
      </c>
      <c r="V19" s="61">
        <v>252030</v>
      </c>
      <c r="W19" s="61">
        <v>25200</v>
      </c>
      <c r="X19" s="63">
        <f t="shared" si="1"/>
        <v>609070</v>
      </c>
      <c r="Y19" s="64">
        <f t="shared" si="2"/>
        <v>3824263</v>
      </c>
    </row>
    <row r="20" spans="2:25" ht="23.1" customHeight="1" x14ac:dyDescent="0.3">
      <c r="B20" s="59" t="s">
        <v>14</v>
      </c>
      <c r="C20" s="60" t="s">
        <v>128</v>
      </c>
      <c r="D20" s="60" t="s">
        <v>36</v>
      </c>
      <c r="E20" s="60" t="s">
        <v>87</v>
      </c>
      <c r="F20" s="61">
        <v>3441667</v>
      </c>
      <c r="G20" s="61">
        <v>0</v>
      </c>
      <c r="H20" s="61">
        <v>0</v>
      </c>
      <c r="I20" s="61">
        <v>0</v>
      </c>
      <c r="J20" s="61">
        <v>0</v>
      </c>
      <c r="K20" s="61">
        <v>0</v>
      </c>
      <c r="L20" s="61">
        <v>0</v>
      </c>
      <c r="M20" s="61">
        <v>0</v>
      </c>
      <c r="N20" s="105">
        <v>0</v>
      </c>
      <c r="O20" s="62">
        <f t="shared" si="0"/>
        <v>3441667</v>
      </c>
      <c r="P20" s="61">
        <v>158440</v>
      </c>
      <c r="Q20" s="61">
        <v>126910</v>
      </c>
      <c r="R20" s="61">
        <v>0</v>
      </c>
      <c r="S20" s="61">
        <v>30970</v>
      </c>
      <c r="T20" s="61">
        <v>16430</v>
      </c>
      <c r="U20" s="61">
        <v>0</v>
      </c>
      <c r="V20" s="61">
        <v>119880</v>
      </c>
      <c r="W20" s="61">
        <v>11980</v>
      </c>
      <c r="X20" s="63">
        <f t="shared" si="1"/>
        <v>464610</v>
      </c>
      <c r="Y20" s="64">
        <f t="shared" si="2"/>
        <v>2977057</v>
      </c>
    </row>
    <row r="21" spans="2:25" ht="23.1" customHeight="1" x14ac:dyDescent="0.3">
      <c r="B21" s="67" t="s">
        <v>16</v>
      </c>
      <c r="C21" s="68" t="s">
        <v>129</v>
      </c>
      <c r="D21" s="68" t="s">
        <v>37</v>
      </c>
      <c r="E21" s="68" t="s">
        <v>86</v>
      </c>
      <c r="F21" s="69">
        <v>3833333</v>
      </c>
      <c r="G21" s="69">
        <v>0</v>
      </c>
      <c r="H21" s="69">
        <v>0</v>
      </c>
      <c r="I21" s="69">
        <v>0</v>
      </c>
      <c r="J21" s="69">
        <v>0</v>
      </c>
      <c r="K21" s="69">
        <v>0</v>
      </c>
      <c r="L21" s="69">
        <v>0</v>
      </c>
      <c r="M21" s="69">
        <v>0</v>
      </c>
      <c r="N21" s="106">
        <v>0</v>
      </c>
      <c r="O21" s="70">
        <f t="shared" si="0"/>
        <v>3833333</v>
      </c>
      <c r="P21" s="61">
        <v>164020</v>
      </c>
      <c r="Q21" s="61">
        <v>131380</v>
      </c>
      <c r="R21" s="61">
        <v>12510</v>
      </c>
      <c r="S21" s="61">
        <v>34490</v>
      </c>
      <c r="T21" s="61">
        <v>17010</v>
      </c>
      <c r="U21" s="61">
        <v>0</v>
      </c>
      <c r="V21" s="61">
        <v>134550</v>
      </c>
      <c r="W21" s="61">
        <v>13450</v>
      </c>
      <c r="X21" s="71">
        <f t="shared" si="1"/>
        <v>507410</v>
      </c>
      <c r="Y21" s="72">
        <f t="shared" si="2"/>
        <v>3325923</v>
      </c>
    </row>
    <row r="22" spans="2:25" ht="23.1" customHeight="1" x14ac:dyDescent="0.3">
      <c r="B22" s="73">
        <v>44879</v>
      </c>
      <c r="C22" s="74" t="s">
        <v>130</v>
      </c>
      <c r="D22" s="74" t="s">
        <v>38</v>
      </c>
      <c r="E22" s="74" t="s">
        <v>86</v>
      </c>
      <c r="F22" s="69">
        <v>4791667</v>
      </c>
      <c r="G22" s="69">
        <v>0</v>
      </c>
      <c r="H22" s="69">
        <v>0</v>
      </c>
      <c r="I22" s="69">
        <v>0</v>
      </c>
      <c r="J22" s="69">
        <v>0</v>
      </c>
      <c r="K22" s="69">
        <v>0</v>
      </c>
      <c r="L22" s="69">
        <v>0</v>
      </c>
      <c r="M22" s="69">
        <v>0</v>
      </c>
      <c r="N22" s="69">
        <v>0</v>
      </c>
      <c r="O22" s="75">
        <f t="shared" si="0"/>
        <v>4791667</v>
      </c>
      <c r="P22" s="61">
        <v>219820</v>
      </c>
      <c r="Q22" s="61">
        <v>176060</v>
      </c>
      <c r="R22" s="61">
        <v>18480</v>
      </c>
      <c r="S22" s="61">
        <v>43120</v>
      </c>
      <c r="T22" s="61">
        <v>22800</v>
      </c>
      <c r="U22" s="61">
        <v>0</v>
      </c>
      <c r="V22" s="61">
        <v>304610</v>
      </c>
      <c r="W22" s="61">
        <v>30460</v>
      </c>
      <c r="X22" s="71">
        <f t="shared" si="1"/>
        <v>815350</v>
      </c>
      <c r="Y22" s="72">
        <f t="shared" si="2"/>
        <v>3976317</v>
      </c>
    </row>
    <row r="23" spans="2:25" ht="23.1" customHeight="1" x14ac:dyDescent="0.3">
      <c r="B23" s="73">
        <v>44923</v>
      </c>
      <c r="C23" s="74" t="s">
        <v>131</v>
      </c>
      <c r="D23" s="74" t="s">
        <v>39</v>
      </c>
      <c r="E23" s="74" t="s">
        <v>86</v>
      </c>
      <c r="F23" s="69">
        <v>4416667</v>
      </c>
      <c r="G23" s="69">
        <v>0</v>
      </c>
      <c r="H23" s="69">
        <v>0</v>
      </c>
      <c r="I23" s="69">
        <v>0</v>
      </c>
      <c r="J23" s="69">
        <v>0</v>
      </c>
      <c r="K23" s="69">
        <v>0</v>
      </c>
      <c r="L23" s="69">
        <v>0</v>
      </c>
      <c r="M23" s="69">
        <v>0</v>
      </c>
      <c r="N23" s="69">
        <v>0</v>
      </c>
      <c r="O23" s="75">
        <f t="shared" si="0"/>
        <v>4416667</v>
      </c>
      <c r="P23" s="61">
        <v>161050</v>
      </c>
      <c r="Q23" s="61">
        <v>128990</v>
      </c>
      <c r="R23" s="61">
        <v>0</v>
      </c>
      <c r="S23" s="61">
        <v>39750</v>
      </c>
      <c r="T23" s="61">
        <v>16700</v>
      </c>
      <c r="U23" s="61">
        <v>0</v>
      </c>
      <c r="V23" s="61">
        <v>201300</v>
      </c>
      <c r="W23" s="61">
        <v>20130</v>
      </c>
      <c r="X23" s="69">
        <f t="shared" si="1"/>
        <v>567920</v>
      </c>
      <c r="Y23" s="72">
        <f t="shared" si="2"/>
        <v>3848747</v>
      </c>
    </row>
    <row r="24" spans="2:25" ht="23.1" customHeight="1" x14ac:dyDescent="0.3">
      <c r="B24" s="73">
        <v>45034</v>
      </c>
      <c r="C24" s="74" t="s">
        <v>132</v>
      </c>
      <c r="D24" s="74" t="s">
        <v>40</v>
      </c>
      <c r="E24" s="74" t="s">
        <v>87</v>
      </c>
      <c r="F24" s="69">
        <v>2983333</v>
      </c>
      <c r="G24" s="69">
        <v>0</v>
      </c>
      <c r="H24" s="69">
        <v>0</v>
      </c>
      <c r="I24" s="69">
        <v>0</v>
      </c>
      <c r="J24" s="69">
        <v>0</v>
      </c>
      <c r="K24" s="69">
        <v>0</v>
      </c>
      <c r="L24" s="69">
        <v>0</v>
      </c>
      <c r="M24" s="69">
        <v>0</v>
      </c>
      <c r="N24" s="69">
        <v>0</v>
      </c>
      <c r="O24" s="75">
        <f t="shared" si="0"/>
        <v>2983333</v>
      </c>
      <c r="P24" s="69">
        <v>134500</v>
      </c>
      <c r="Q24" s="69">
        <v>107750</v>
      </c>
      <c r="R24" s="69">
        <v>21160</v>
      </c>
      <c r="S24" s="69">
        <v>26840</v>
      </c>
      <c r="T24" s="69">
        <v>13950</v>
      </c>
      <c r="U24" s="69">
        <v>0</v>
      </c>
      <c r="V24" s="61">
        <v>72210</v>
      </c>
      <c r="W24" s="69">
        <v>7220</v>
      </c>
      <c r="X24" s="69">
        <f t="shared" si="1"/>
        <v>383630</v>
      </c>
      <c r="Y24" s="72">
        <f t="shared" si="2"/>
        <v>2599703</v>
      </c>
    </row>
    <row r="25" spans="2:25" ht="23.1" customHeight="1" x14ac:dyDescent="0.3">
      <c r="B25" s="73">
        <v>45212</v>
      </c>
      <c r="C25" s="74" t="s">
        <v>133</v>
      </c>
      <c r="D25" s="74" t="s">
        <v>41</v>
      </c>
      <c r="E25" s="74" t="s">
        <v>87</v>
      </c>
      <c r="F25" s="69">
        <v>2683333</v>
      </c>
      <c r="G25" s="69">
        <v>0</v>
      </c>
      <c r="H25" s="69">
        <v>0</v>
      </c>
      <c r="I25" s="69">
        <v>0</v>
      </c>
      <c r="J25" s="69">
        <v>0</v>
      </c>
      <c r="K25" s="69">
        <v>0</v>
      </c>
      <c r="L25" s="69">
        <v>0</v>
      </c>
      <c r="M25" s="69">
        <v>0</v>
      </c>
      <c r="N25" s="69">
        <v>0</v>
      </c>
      <c r="O25" s="75">
        <f t="shared" si="0"/>
        <v>2683333</v>
      </c>
      <c r="P25" s="69">
        <v>114880</v>
      </c>
      <c r="Q25" s="69">
        <v>92020</v>
      </c>
      <c r="R25" s="69">
        <v>21060</v>
      </c>
      <c r="S25" s="69">
        <v>24140</v>
      </c>
      <c r="T25" s="69">
        <v>11910</v>
      </c>
      <c r="U25" s="69">
        <v>0</v>
      </c>
      <c r="V25" s="61">
        <v>46540</v>
      </c>
      <c r="W25" s="69">
        <v>4650</v>
      </c>
      <c r="X25" s="69">
        <f t="shared" si="1"/>
        <v>315200</v>
      </c>
      <c r="Y25" s="72">
        <f t="shared" si="2"/>
        <v>2368133</v>
      </c>
    </row>
    <row r="26" spans="2:25" ht="23.1" customHeight="1" x14ac:dyDescent="0.3">
      <c r="B26" s="66">
        <v>45366</v>
      </c>
      <c r="C26" s="76" t="s">
        <v>134</v>
      </c>
      <c r="D26" s="76" t="s">
        <v>42</v>
      </c>
      <c r="E26" s="76" t="s">
        <v>86</v>
      </c>
      <c r="F26" s="61">
        <v>3666667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1">
        <v>0</v>
      </c>
      <c r="M26" s="61">
        <v>0</v>
      </c>
      <c r="N26" s="69">
        <v>0</v>
      </c>
      <c r="O26" s="75">
        <f t="shared" si="0"/>
        <v>3666667</v>
      </c>
      <c r="P26" s="61">
        <v>135310</v>
      </c>
      <c r="Q26" s="61">
        <v>103780</v>
      </c>
      <c r="R26" s="61">
        <v>0</v>
      </c>
      <c r="S26" s="61">
        <v>33000</v>
      </c>
      <c r="T26" s="61">
        <v>13440</v>
      </c>
      <c r="U26" s="61">
        <v>0</v>
      </c>
      <c r="V26" s="61">
        <v>88040</v>
      </c>
      <c r="W26" s="61">
        <v>8800</v>
      </c>
      <c r="X26" s="69">
        <f t="shared" si="1"/>
        <v>382370</v>
      </c>
      <c r="Y26" s="72">
        <f t="shared" si="2"/>
        <v>3284297</v>
      </c>
    </row>
    <row r="27" spans="2:25" ht="23.1" customHeight="1" x14ac:dyDescent="0.3">
      <c r="B27" s="73">
        <v>45366</v>
      </c>
      <c r="C27" s="74" t="s">
        <v>135</v>
      </c>
      <c r="D27" s="74" t="s">
        <v>43</v>
      </c>
      <c r="E27" s="74" t="s">
        <v>86</v>
      </c>
      <c r="F27" s="69">
        <v>3583333</v>
      </c>
      <c r="G27" s="69">
        <v>0</v>
      </c>
      <c r="H27" s="69">
        <v>0</v>
      </c>
      <c r="I27" s="69">
        <v>0</v>
      </c>
      <c r="J27" s="69">
        <v>0</v>
      </c>
      <c r="K27" s="69">
        <v>0</v>
      </c>
      <c r="L27" s="69">
        <v>0</v>
      </c>
      <c r="M27" s="69">
        <v>0</v>
      </c>
      <c r="N27" s="69">
        <v>0</v>
      </c>
      <c r="O27" s="75">
        <f t="shared" si="0"/>
        <v>3583333</v>
      </c>
      <c r="P27" s="69">
        <v>127390</v>
      </c>
      <c r="Q27" s="69">
        <v>97700</v>
      </c>
      <c r="R27" s="69">
        <v>0</v>
      </c>
      <c r="S27" s="69">
        <v>32240</v>
      </c>
      <c r="T27" s="69">
        <v>12650</v>
      </c>
      <c r="U27" s="69">
        <v>0</v>
      </c>
      <c r="V27" s="61">
        <v>137000</v>
      </c>
      <c r="W27" s="69">
        <v>13700</v>
      </c>
      <c r="X27" s="69">
        <f t="shared" si="1"/>
        <v>420680</v>
      </c>
      <c r="Y27" s="72">
        <f t="shared" si="2"/>
        <v>3162653</v>
      </c>
    </row>
    <row r="28" spans="2:25" ht="22.85" customHeight="1" x14ac:dyDescent="0.3">
      <c r="B28" s="66">
        <v>45554</v>
      </c>
      <c r="C28" s="60" t="s">
        <v>137</v>
      </c>
      <c r="D28" s="60" t="s">
        <v>44</v>
      </c>
      <c r="E28" s="60" t="s">
        <v>87</v>
      </c>
      <c r="F28" s="61">
        <v>2583333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1">
        <v>0</v>
      </c>
      <c r="M28" s="61">
        <v>0</v>
      </c>
      <c r="N28" s="61">
        <v>0</v>
      </c>
      <c r="O28" s="77">
        <f t="shared" si="0"/>
        <v>2583333</v>
      </c>
      <c r="P28" s="61">
        <v>106960</v>
      </c>
      <c r="Q28" s="61">
        <v>73050</v>
      </c>
      <c r="R28" s="61">
        <v>0</v>
      </c>
      <c r="S28" s="61">
        <v>23240</v>
      </c>
      <c r="T28" s="61">
        <v>9460</v>
      </c>
      <c r="U28" s="61">
        <v>0</v>
      </c>
      <c r="V28" s="61">
        <v>43110</v>
      </c>
      <c r="W28" s="61">
        <v>4310</v>
      </c>
      <c r="X28" s="61">
        <f t="shared" si="1"/>
        <v>260130</v>
      </c>
      <c r="Y28" s="64">
        <f t="shared" si="2"/>
        <v>2323203</v>
      </c>
    </row>
    <row r="29" spans="2:25" ht="23.1" customHeight="1" x14ac:dyDescent="0.3">
      <c r="B29" s="66">
        <v>45593</v>
      </c>
      <c r="C29" s="60" t="s">
        <v>138</v>
      </c>
      <c r="D29" s="60" t="s">
        <v>45</v>
      </c>
      <c r="E29" s="60" t="s">
        <v>87</v>
      </c>
      <c r="F29" s="61">
        <v>2541667</v>
      </c>
      <c r="G29" s="61">
        <v>0</v>
      </c>
      <c r="H29" s="61">
        <v>0</v>
      </c>
      <c r="I29" s="61">
        <v>0</v>
      </c>
      <c r="J29" s="61">
        <v>0</v>
      </c>
      <c r="K29" s="61">
        <v>0</v>
      </c>
      <c r="L29" s="61">
        <v>0</v>
      </c>
      <c r="M29" s="61">
        <v>0</v>
      </c>
      <c r="N29" s="61">
        <v>0</v>
      </c>
      <c r="O29" s="77">
        <f t="shared" si="0"/>
        <v>2541667</v>
      </c>
      <c r="P29" s="61">
        <v>106830</v>
      </c>
      <c r="Q29" s="61">
        <v>91190</v>
      </c>
      <c r="R29" s="61">
        <v>0</v>
      </c>
      <c r="S29" s="61">
        <v>22870</v>
      </c>
      <c r="T29" s="61">
        <v>11800</v>
      </c>
      <c r="U29" s="61">
        <v>0</v>
      </c>
      <c r="V29" s="61">
        <v>38830</v>
      </c>
      <c r="W29" s="61">
        <v>3880</v>
      </c>
      <c r="X29" s="61">
        <f t="shared" si="1"/>
        <v>275400</v>
      </c>
      <c r="Y29" s="64">
        <f t="shared" si="2"/>
        <v>2266267</v>
      </c>
    </row>
    <row r="30" spans="2:25" ht="23.1" customHeight="1" x14ac:dyDescent="0.3">
      <c r="B30" s="66">
        <v>45627</v>
      </c>
      <c r="C30" s="60" t="s">
        <v>139</v>
      </c>
      <c r="D30" s="60" t="s">
        <v>46</v>
      </c>
      <c r="E30" s="60" t="s">
        <v>86</v>
      </c>
      <c r="F30" s="61">
        <v>3458333</v>
      </c>
      <c r="G30" s="61">
        <v>0</v>
      </c>
      <c r="H30" s="61">
        <v>0</v>
      </c>
      <c r="I30" s="61">
        <v>0</v>
      </c>
      <c r="J30" s="61">
        <v>0</v>
      </c>
      <c r="K30" s="61">
        <v>0</v>
      </c>
      <c r="L30" s="61">
        <v>0</v>
      </c>
      <c r="M30" s="61">
        <v>0</v>
      </c>
      <c r="N30" s="61">
        <v>0</v>
      </c>
      <c r="O30" s="77">
        <f t="shared" si="0"/>
        <v>3458333</v>
      </c>
      <c r="P30" s="61">
        <v>134230</v>
      </c>
      <c r="Q30" s="61">
        <v>109300</v>
      </c>
      <c r="R30" s="61">
        <v>0</v>
      </c>
      <c r="S30" s="61">
        <v>31120</v>
      </c>
      <c r="T30" s="61">
        <v>14150</v>
      </c>
      <c r="U30" s="61">
        <v>0</v>
      </c>
      <c r="V30" s="61">
        <v>81190</v>
      </c>
      <c r="W30" s="61">
        <v>8110</v>
      </c>
      <c r="X30" s="61">
        <f t="shared" si="1"/>
        <v>378100</v>
      </c>
      <c r="Y30" s="64">
        <f t="shared" si="2"/>
        <v>3080233</v>
      </c>
    </row>
    <row r="31" spans="2:25" ht="23.1" customHeight="1" x14ac:dyDescent="0.3">
      <c r="B31" s="66">
        <v>45656</v>
      </c>
      <c r="C31" s="60" t="s">
        <v>140</v>
      </c>
      <c r="D31" s="60" t="s">
        <v>47</v>
      </c>
      <c r="E31" s="60" t="s">
        <v>84</v>
      </c>
      <c r="F31" s="61">
        <v>3083333</v>
      </c>
      <c r="G31" s="61">
        <v>0</v>
      </c>
      <c r="H31" s="61">
        <v>0</v>
      </c>
      <c r="I31" s="61">
        <v>0</v>
      </c>
      <c r="J31" s="61">
        <v>0</v>
      </c>
      <c r="K31" s="61">
        <v>0</v>
      </c>
      <c r="L31" s="61">
        <v>0</v>
      </c>
      <c r="M31" s="61">
        <v>0</v>
      </c>
      <c r="N31" s="61">
        <v>0</v>
      </c>
      <c r="O31" s="77">
        <f t="shared" si="0"/>
        <v>3083333</v>
      </c>
      <c r="P31" s="61">
        <v>138730</v>
      </c>
      <c r="Q31" s="61">
        <v>109300</v>
      </c>
      <c r="R31" s="61">
        <v>0</v>
      </c>
      <c r="S31" s="61">
        <v>27740</v>
      </c>
      <c r="T31" s="61">
        <v>14150</v>
      </c>
      <c r="U31" s="61">
        <v>0</v>
      </c>
      <c r="V31" s="61">
        <v>81190</v>
      </c>
      <c r="W31" s="61">
        <v>8110</v>
      </c>
      <c r="X31" s="61">
        <f t="shared" si="1"/>
        <v>379220</v>
      </c>
      <c r="Y31" s="64">
        <f t="shared" si="2"/>
        <v>2704113</v>
      </c>
    </row>
    <row r="32" spans="2:25" ht="23.1" customHeight="1" x14ac:dyDescent="0.3">
      <c r="B32" s="73">
        <v>45761</v>
      </c>
      <c r="C32" s="68" t="s">
        <v>141</v>
      </c>
      <c r="D32" s="68" t="s">
        <v>53</v>
      </c>
      <c r="E32" s="68" t="s">
        <v>86</v>
      </c>
      <c r="F32" s="69">
        <v>483871</v>
      </c>
      <c r="G32" s="69">
        <v>0</v>
      </c>
      <c r="H32" s="69">
        <v>0</v>
      </c>
      <c r="I32" s="69">
        <v>0</v>
      </c>
      <c r="J32" s="69">
        <v>0</v>
      </c>
      <c r="K32" s="69">
        <v>0</v>
      </c>
      <c r="L32" s="69">
        <v>0</v>
      </c>
      <c r="M32" s="69">
        <v>0</v>
      </c>
      <c r="N32" s="69">
        <v>0</v>
      </c>
      <c r="O32" s="75">
        <f t="shared" si="0"/>
        <v>483871</v>
      </c>
      <c r="P32" s="69">
        <v>0</v>
      </c>
      <c r="Q32" s="69">
        <v>106350</v>
      </c>
      <c r="R32" s="69">
        <v>-23040</v>
      </c>
      <c r="S32" s="69">
        <v>4350</v>
      </c>
      <c r="T32" s="69">
        <v>13770</v>
      </c>
      <c r="U32" s="69">
        <v>0</v>
      </c>
      <c r="V32" s="61">
        <v>-321870</v>
      </c>
      <c r="W32" s="69">
        <v>-32150</v>
      </c>
      <c r="X32" s="69">
        <f t="shared" si="1"/>
        <v>-252590</v>
      </c>
      <c r="Y32" s="72">
        <f t="shared" si="2"/>
        <v>736461</v>
      </c>
    </row>
    <row r="33" spans="2:25" ht="23.1" customHeight="1" x14ac:dyDescent="0.3">
      <c r="B33" s="73">
        <v>45839</v>
      </c>
      <c r="C33" s="68" t="s">
        <v>142</v>
      </c>
      <c r="D33" s="68" t="s">
        <v>55</v>
      </c>
      <c r="E33" s="68" t="s">
        <v>84</v>
      </c>
      <c r="F33" s="69">
        <v>3250000</v>
      </c>
      <c r="G33" s="69">
        <v>0</v>
      </c>
      <c r="H33" s="69">
        <v>0</v>
      </c>
      <c r="I33" s="69">
        <v>0</v>
      </c>
      <c r="J33" s="69">
        <v>0</v>
      </c>
      <c r="K33" s="69">
        <v>0</v>
      </c>
      <c r="L33" s="69">
        <v>0</v>
      </c>
      <c r="M33" s="69">
        <v>0</v>
      </c>
      <c r="N33" s="69">
        <v>0</v>
      </c>
      <c r="O33" s="75">
        <f t="shared" si="0"/>
        <v>3250000</v>
      </c>
      <c r="P33" s="69">
        <v>146250</v>
      </c>
      <c r="Q33" s="69">
        <v>115210</v>
      </c>
      <c r="R33" s="69">
        <v>0</v>
      </c>
      <c r="S33" s="69">
        <v>29250</v>
      </c>
      <c r="T33" s="69">
        <v>14920</v>
      </c>
      <c r="U33" s="69">
        <v>0</v>
      </c>
      <c r="V33" s="69">
        <v>95430</v>
      </c>
      <c r="W33" s="69">
        <v>9540</v>
      </c>
      <c r="X33" s="69">
        <f t="shared" si="1"/>
        <v>410600</v>
      </c>
      <c r="Y33" s="72">
        <f t="shared" si="2"/>
        <v>2839400</v>
      </c>
    </row>
    <row r="34" spans="2:25" ht="23.1" customHeight="1" thickBot="1" x14ac:dyDescent="0.35">
      <c r="B34" s="78">
        <v>45943</v>
      </c>
      <c r="C34" s="128" t="s">
        <v>56</v>
      </c>
      <c r="D34" s="128" t="s">
        <v>57</v>
      </c>
      <c r="E34" s="128" t="s">
        <v>86</v>
      </c>
      <c r="F34" s="79">
        <v>3166667</v>
      </c>
      <c r="G34" s="79">
        <v>0</v>
      </c>
      <c r="H34" s="79">
        <v>0</v>
      </c>
      <c r="I34" s="79">
        <v>0</v>
      </c>
      <c r="J34" s="79">
        <v>0</v>
      </c>
      <c r="K34" s="79">
        <v>0</v>
      </c>
      <c r="L34" s="79">
        <v>0</v>
      </c>
      <c r="M34" s="79">
        <v>0</v>
      </c>
      <c r="N34" s="79">
        <v>0</v>
      </c>
      <c r="O34" s="80">
        <f t="shared" si="0"/>
        <v>3166667</v>
      </c>
      <c r="P34" s="79">
        <v>284940</v>
      </c>
      <c r="Q34" s="79">
        <v>112250</v>
      </c>
      <c r="R34" s="79">
        <v>0</v>
      </c>
      <c r="S34" s="79">
        <v>28500</v>
      </c>
      <c r="T34" s="79">
        <v>14530</v>
      </c>
      <c r="U34" s="79">
        <v>0</v>
      </c>
      <c r="V34" s="79">
        <v>18010</v>
      </c>
      <c r="W34" s="79">
        <v>1800</v>
      </c>
      <c r="X34" s="79">
        <f t="shared" si="1"/>
        <v>460030</v>
      </c>
      <c r="Y34" s="81">
        <f t="shared" si="2"/>
        <v>2706637</v>
      </c>
    </row>
    <row r="35" spans="2:25" ht="22.6" customHeight="1" thickBot="1" x14ac:dyDescent="0.35">
      <c r="B35" s="82" t="s">
        <v>98</v>
      </c>
      <c r="C35" s="83" t="s">
        <v>89</v>
      </c>
      <c r="D35" s="91"/>
      <c r="E35" s="84"/>
      <c r="F35" s="85">
        <f t="shared" ref="F35:Y35" si="3">SUM(F5:F34)</f>
        <v>142677621</v>
      </c>
      <c r="G35" s="86">
        <f t="shared" si="3"/>
        <v>2000000</v>
      </c>
      <c r="H35" s="86">
        <f t="shared" si="3"/>
        <v>50000</v>
      </c>
      <c r="I35" s="86">
        <f t="shared" si="3"/>
        <v>0</v>
      </c>
      <c r="J35" s="86">
        <f t="shared" si="3"/>
        <v>1000000</v>
      </c>
      <c r="K35" s="86">
        <f t="shared" si="3"/>
        <v>0</v>
      </c>
      <c r="L35" s="86">
        <f t="shared" si="3"/>
        <v>0</v>
      </c>
      <c r="M35" s="86">
        <f t="shared" si="3"/>
        <v>6058673</v>
      </c>
      <c r="N35" s="86">
        <f t="shared" si="3"/>
        <v>0</v>
      </c>
      <c r="O35" s="87">
        <f t="shared" si="0"/>
        <v>151786294</v>
      </c>
      <c r="P35" s="88">
        <f t="shared" si="3"/>
        <v>4748190</v>
      </c>
      <c r="Q35" s="88">
        <f t="shared" si="3"/>
        <v>5103250</v>
      </c>
      <c r="R35" s="88">
        <f t="shared" si="3"/>
        <v>50170</v>
      </c>
      <c r="S35" s="88">
        <f t="shared" si="3"/>
        <v>69660</v>
      </c>
      <c r="T35" s="88">
        <f t="shared" si="3"/>
        <v>660790</v>
      </c>
      <c r="U35" s="88">
        <f t="shared" si="3"/>
        <v>0</v>
      </c>
      <c r="V35" s="103">
        <f t="shared" si="3"/>
        <v>19614150</v>
      </c>
      <c r="W35" s="88">
        <f t="shared" si="3"/>
        <v>1961360</v>
      </c>
      <c r="X35" s="88">
        <f t="shared" si="3"/>
        <v>32207570</v>
      </c>
      <c r="Y35" s="89">
        <f t="shared" si="3"/>
        <v>119578724</v>
      </c>
    </row>
    <row r="36" spans="2:25" x14ac:dyDescent="0.3">
      <c r="B36" s="43"/>
      <c r="C36" s="43"/>
      <c r="D36" s="43"/>
      <c r="E36" s="43"/>
      <c r="F36" s="90"/>
      <c r="G36" s="90"/>
      <c r="H36" s="90"/>
      <c r="I36" s="90"/>
      <c r="J36" s="90"/>
      <c r="K36" s="90"/>
      <c r="L36" s="90"/>
      <c r="M36" s="90"/>
      <c r="N36" s="90"/>
      <c r="O36" s="58"/>
      <c r="P36" s="90"/>
      <c r="Q36" s="90"/>
      <c r="R36" s="90"/>
      <c r="S36" s="90"/>
      <c r="T36" s="90"/>
      <c r="U36" s="90"/>
      <c r="V36" s="90"/>
      <c r="W36" s="90"/>
      <c r="X36" s="90"/>
      <c r="Y36" s="90"/>
    </row>
    <row r="37" spans="2:25" x14ac:dyDescent="0.3"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123"/>
      <c r="P37" s="90"/>
      <c r="Q37" s="90"/>
      <c r="R37" s="90"/>
      <c r="S37" s="90"/>
      <c r="T37" s="90"/>
      <c r="U37" s="90"/>
      <c r="V37" s="90"/>
      <c r="W37" s="90"/>
      <c r="X37" s="90"/>
      <c r="Y37" s="90"/>
    </row>
    <row r="38" spans="2:25" x14ac:dyDescent="0.3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65"/>
      <c r="P38" s="90"/>
      <c r="Q38" s="90"/>
      <c r="R38" s="90"/>
      <c r="S38" s="90"/>
      <c r="T38" s="90"/>
      <c r="U38" s="90"/>
      <c r="V38" s="90"/>
      <c r="W38" s="90"/>
      <c r="X38" s="90"/>
      <c r="Y38" s="90"/>
    </row>
    <row r="39" spans="2:25" x14ac:dyDescent="0.3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90"/>
      <c r="Q39" s="90"/>
      <c r="R39" s="90"/>
      <c r="S39" s="90"/>
      <c r="T39" s="90"/>
      <c r="U39" s="90"/>
      <c r="V39" s="90"/>
      <c r="W39" s="90"/>
      <c r="X39" s="90"/>
      <c r="Y39" s="90"/>
    </row>
  </sheetData>
  <autoFilter ref="B4:Y36" xr:uid="{B381E3F4-741C-4B26-8079-5071955A8924}"/>
  <phoneticPr fontId="2" type="noConversion"/>
  <pageMargins left="0.36" right="0.11811023622047245" top="0.74803149606299213" bottom="0.74803149606299213" header="0.31496062992125984" footer="0.31496062992125984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2025.01</vt:lpstr>
      <vt:lpstr>2025.01_Bonus_Lunar New Year</vt:lpstr>
      <vt:lpstr>2025.02</vt:lpstr>
      <vt:lpstr>2025.02 Bonus</vt:lpstr>
      <vt:lpstr>2025.03</vt:lpstr>
      <vt:lpstr>2025.04</vt:lpstr>
      <vt:lpstr>2025.05</vt:lpstr>
      <vt:lpstr>2025.06</vt:lpstr>
      <vt:lpstr>2025.07</vt:lpstr>
      <vt:lpstr>2025.08</vt:lpstr>
      <vt:lpstr>2025.09</vt:lpstr>
      <vt:lpstr>2025.10</vt:lpstr>
      <vt:lpstr>2025.10_Bonus_Chuseok</vt:lpstr>
      <vt:lpstr>2025.11</vt:lpstr>
      <vt:lpstr>2025.12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2026-02-21T23:02:56Z</dcterms:created>
  <dcterms:modified xsi:type="dcterms:W3CDTF">2026-02-22T00:52:16Z</dcterms:modified>
</cp:coreProperties>
</file>