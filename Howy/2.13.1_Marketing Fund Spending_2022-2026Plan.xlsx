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66925"/>
  <xr:revisionPtr revIDLastSave="0" documentId="13_ncr:1_{E62975EA-86CE-45CE-934F-1277F4E76EF6}" xr6:coauthVersionLast="47" xr6:coauthVersionMax="47" xr10:uidLastSave="{00000000-0000-0000-0000-000000000000}"/>
  <bookViews>
    <workbookView xWindow="-107" yWindow="-107" windowWidth="20847" windowHeight="11111" xr2:uid="{620EE675-C863-47DF-92DF-C0A11D9B0E66}"/>
  </bookViews>
  <sheets>
    <sheet name="Summary" sheetId="8" r:id="rId1"/>
    <sheet name="Marketing Fund 2022" sheetId="1" r:id="rId2"/>
    <sheet name="Marketing Fund 2023" sheetId="15" r:id="rId3"/>
    <sheet name="Marketing Fund 2024" sheetId="17" r:id="rId4"/>
    <sheet name="Marketing Fund 2025" sheetId="16" r:id="rId5"/>
    <sheet name="Marketing Fund 2026 Plan" sheetId="18" r:id="rId6"/>
  </sheets>
  <definedNames>
    <definedName name="__123Graph_A" hidden="1">#REF!</definedName>
    <definedName name="__123Graph_ABICBETA" hidden="1">#REF!</definedName>
    <definedName name="__123Graph_ABOOK" hidden="1">#REF!</definedName>
    <definedName name="__123Graph_ABOOKBETA" hidden="1">#REF!</definedName>
    <definedName name="__123Graph_AEBITDABETA" hidden="1">#REF!</definedName>
    <definedName name="__123Graph_AEMPBETA" hidden="1">#REF!</definedName>
    <definedName name="__123Graph_AEMPLOYEE" hidden="1">#REF!</definedName>
    <definedName name="__123Graph_AFESCAP" hidden="1">#REF!</definedName>
    <definedName name="__123Graph_AMALTACAP" hidden="1">#REF!</definedName>
    <definedName name="__123Graph_AMKTVBETA" hidden="1">#REF!</definedName>
    <definedName name="__123Graph_AMVIC" hidden="1">#REF!</definedName>
    <definedName name="__123Graph_AMVICBETA" hidden="1">#REF!</definedName>
    <definedName name="__123Graph_ANIBETA" hidden="1">#REF!</definedName>
    <definedName name="__123Graph_ASALEBETA" hidden="1">#REF!</definedName>
    <definedName name="__123Graph_ASALES" hidden="1">#REF!</definedName>
    <definedName name="__123Graph_B" hidden="1">#REF!</definedName>
    <definedName name="__123Graph_BBICBETA" hidden="1">#REF!</definedName>
    <definedName name="__123Graph_BBOOK" hidden="1">#REF!</definedName>
    <definedName name="__123Graph_BBOOKBETA" hidden="1">#REF!</definedName>
    <definedName name="__123Graph_BEBITDABETA" hidden="1">#REF!</definedName>
    <definedName name="__123Graph_BEMPBETA" hidden="1">#REF!</definedName>
    <definedName name="__123Graph_BEMPLOYEE" hidden="1">#REF!</definedName>
    <definedName name="__123Graph_BFESCAP" hidden="1">#REF!</definedName>
    <definedName name="__123Graph_BMALTACAP" hidden="1">#REF!</definedName>
    <definedName name="__123Graph_BMKTVBETA" hidden="1">#REF!</definedName>
    <definedName name="__123Graph_BMVIC" hidden="1">#REF!</definedName>
    <definedName name="__123Graph_BMVICBETA" hidden="1">#REF!</definedName>
    <definedName name="__123Graph_BNIBETA" hidden="1">#REF!</definedName>
    <definedName name="__123Graph_BSALEBETA" hidden="1">#REF!</definedName>
    <definedName name="__123Graph_BSALES" hidden="1">#REF!</definedName>
    <definedName name="__123Graph_C" hidden="1">#REF!</definedName>
    <definedName name="__123Graph_CFESCAP" hidden="1">#REF!</definedName>
    <definedName name="__123Graph_D" hidden="1">#REF!</definedName>
    <definedName name="__123Graph_DFESCAP" hidden="1">#REF!</definedName>
    <definedName name="__123Graph_E" hidden="1">#REF!</definedName>
    <definedName name="__123Graph_F" hidden="1">#REF!</definedName>
    <definedName name="__123Graph_X" hidden="1">#REF!</definedName>
    <definedName name="__123Graph_XEMPLOYEE" hidden="1">#REF!</definedName>
    <definedName name="__123Graph_XFESCAP" hidden="1">#REF!</definedName>
    <definedName name="__123Graph_XMALTACAP" hidden="1">#REF!</definedName>
    <definedName name="__FDS_HYPERLINK_TOGGLE_STATE__" hidden="1">"ON"</definedName>
    <definedName name="__I2" localSheetId="1" hidden="1">{"PVGraph2",#N/A,FALSE,"PV Data"}</definedName>
    <definedName name="__I2" localSheetId="3" hidden="1">{"PVGraph2",#N/A,FALSE,"PV Data"}</definedName>
    <definedName name="__I2" localSheetId="4" hidden="1">{"PVGraph2",#N/A,FALSE,"PV Data"}</definedName>
    <definedName name="__I2" localSheetId="5" hidden="1">{"PVGraph2",#N/A,FALSE,"PV Data"}</definedName>
    <definedName name="__I2" hidden="1">{"PVGraph2",#N/A,FALSE,"PV Data"}</definedName>
    <definedName name="__I22" localSheetId="1" hidden="1">{"PVGraph2",#N/A,FALSE,"PV Data"}</definedName>
    <definedName name="__I22" localSheetId="3" hidden="1">{"PVGraph2",#N/A,FALSE,"PV Data"}</definedName>
    <definedName name="__I22" localSheetId="4" hidden="1">{"PVGraph2",#N/A,FALSE,"PV Data"}</definedName>
    <definedName name="__I22" localSheetId="5" hidden="1">{"PVGraph2",#N/A,FALSE,"PV Data"}</definedName>
    <definedName name="__I22" hidden="1">{"PVGraph2",#N/A,FALSE,"PV Data"}</definedName>
    <definedName name="__I3" localSheetId="1" hidden="1">{"PVGraph2",#N/A,FALSE,"PV Data"}</definedName>
    <definedName name="__I3" localSheetId="3" hidden="1">{"PVGraph2",#N/A,FALSE,"PV Data"}</definedName>
    <definedName name="__I3" localSheetId="4" hidden="1">{"PVGraph2",#N/A,FALSE,"PV Data"}</definedName>
    <definedName name="__I3" localSheetId="5" hidden="1">{"PVGraph2",#N/A,FALSE,"PV Data"}</definedName>
    <definedName name="__I3" hidden="1">{"PVGraph2",#N/A,FALSE,"PV Data"}</definedName>
    <definedName name="__IntlFixup" hidden="1">TRUE</definedName>
    <definedName name="__NSO2" localSheetId="1" hidden="1">{"'Sheet1'!$L$16"}</definedName>
    <definedName name="__NSO2" localSheetId="3" hidden="1">{"'Sheet1'!$L$16"}</definedName>
    <definedName name="__NSO2" localSheetId="4" hidden="1">{"'Sheet1'!$L$16"}</definedName>
    <definedName name="__NSO2" localSheetId="5" hidden="1">{"'Sheet1'!$L$16"}</definedName>
    <definedName name="__NSO2" hidden="1">{"'Sheet1'!$L$16"}</definedName>
    <definedName name="__q234" hidden="1">#REF!</definedName>
    <definedName name="__s1" hidden="1">#REF!</definedName>
    <definedName name="__s2" hidden="1">#REF!</definedName>
    <definedName name="__s3" hidden="1">#REF!</definedName>
    <definedName name="__s4" hidden="1">#REF!</definedName>
    <definedName name="__s5" hidden="1">#REF!</definedName>
    <definedName name="__s6" hidden="1">#REF!</definedName>
    <definedName name="__w1" localSheetId="1" hidden="1">{"PVGraph2",#N/A,FALSE,"PV Data"}</definedName>
    <definedName name="__w1" localSheetId="3" hidden="1">{"PVGraph2",#N/A,FALSE,"PV Data"}</definedName>
    <definedName name="__w1" localSheetId="4" hidden="1">{"PVGraph2",#N/A,FALSE,"PV Data"}</definedName>
    <definedName name="__w1" localSheetId="5" hidden="1">{"PVGraph2",#N/A,FALSE,"PV Data"}</definedName>
    <definedName name="__w1" hidden="1">{"PVGraph2",#N/A,FALSE,"PV Data"}</definedName>
    <definedName name="__w2" localSheetId="1" hidden="1">{"PVGraph2",#N/A,FALSE,"PV Data"}</definedName>
    <definedName name="__w2" localSheetId="3" hidden="1">{"PVGraph2",#N/A,FALSE,"PV Data"}</definedName>
    <definedName name="__w2" localSheetId="4" hidden="1">{"PVGraph2",#N/A,FALSE,"PV Data"}</definedName>
    <definedName name="__w2" localSheetId="5" hidden="1">{"PVGraph2",#N/A,FALSE,"PV Data"}</definedName>
    <definedName name="__w2" hidden="1">{"PVGraph2",#N/A,FALSE,"PV Data"}</definedName>
    <definedName name="__w3" localSheetId="1" hidden="1">{"PVGraph2",#N/A,FALSE,"PV Data"}</definedName>
    <definedName name="__w3" localSheetId="3" hidden="1">{"PVGraph2",#N/A,FALSE,"PV Data"}</definedName>
    <definedName name="__w3" localSheetId="4" hidden="1">{"PVGraph2",#N/A,FALSE,"PV Data"}</definedName>
    <definedName name="__w3" localSheetId="5" hidden="1">{"PVGraph2",#N/A,FALSE,"PV Data"}</definedName>
    <definedName name="__w3" hidden="1">{"PVGraph2",#N/A,FALSE,"PV Data"}</definedName>
    <definedName name="__y2" localSheetId="1" hidden="1">{"PVGraph2",#N/A,FALSE,"PV Data"}</definedName>
    <definedName name="__y2" localSheetId="3" hidden="1">{"PVGraph2",#N/A,FALSE,"PV Data"}</definedName>
    <definedName name="__y2" localSheetId="4" hidden="1">{"PVGraph2",#N/A,FALSE,"PV Data"}</definedName>
    <definedName name="__y2" localSheetId="5" hidden="1">{"PVGraph2",#N/A,FALSE,"PV Data"}</definedName>
    <definedName name="__y2" hidden="1">{"PVGraph2",#N/A,FALSE,"PV Data"}</definedName>
    <definedName name="_1__123Graph_A_Chart_1A" hidden="1">#REF!</definedName>
    <definedName name="_1__123Graph_AGraphique_10C" hidden="1">#REF!</definedName>
    <definedName name="_10__123Graph_AChart_5" hidden="1">#REF!</definedName>
    <definedName name="_10__123Graph_AGraphique_19E" hidden="1">#REF!</definedName>
    <definedName name="_11__123Graph_AChart_6" hidden="1">#REF!</definedName>
    <definedName name="_11__123Graph_AGraphique_1A" hidden="1">#REF!</definedName>
    <definedName name="_12__123Graph_ACHART_7" hidden="1">#REF!</definedName>
    <definedName name="_12__123Graph_AGraphique_20E" hidden="1">#REF!</definedName>
    <definedName name="_13__123Graph_AGraphique_21G" hidden="1">#REF!</definedName>
    <definedName name="_13__123Graph_B_Chart_1A" hidden="1">#REF!</definedName>
    <definedName name="_14__123Graph_AGraphique_22G" hidden="1">#REF!</definedName>
    <definedName name="_14__123Graph_BCHART_1" hidden="1">#REF!</definedName>
    <definedName name="_15__123Graph_AGraphique_23G" hidden="1">#REF!</definedName>
    <definedName name="_15__123Graph_BCHART_12" hidden="1">#REF!</definedName>
    <definedName name="_16__123Graph_AGraphique_24G" hidden="1">#REF!</definedName>
    <definedName name="_16__123Graph_BCHART_2" hidden="1">#REF!</definedName>
    <definedName name="_17__123Graph_AGraphique_25H" hidden="1">#REF!</definedName>
    <definedName name="_17__123Graph_BCHART_3" hidden="1">#REF!</definedName>
    <definedName name="_18__123Graph_AGraphique_26H" hidden="1">#REF!</definedName>
    <definedName name="_18__123Graph_BCHART_4" hidden="1">#REF!</definedName>
    <definedName name="_19__123Graph_AGraphique_27H" hidden="1">#REF!</definedName>
    <definedName name="_19__123Graph_BCHART_5" hidden="1">#REF!</definedName>
    <definedName name="_2__123Graph_AChart_1" hidden="1">#REF!</definedName>
    <definedName name="_2__123Graph_AGraphique_11C" hidden="1">#REF!</definedName>
    <definedName name="_20__123Graph_AGraphique_28I" hidden="1">#REF!</definedName>
    <definedName name="_20__123Graph_BCHART_6" hidden="1">#REF!</definedName>
    <definedName name="_21__123Graph_AGraphique_29I" hidden="1">#REF!</definedName>
    <definedName name="_21__123Graph_BCHART_7" hidden="1">#REF!</definedName>
    <definedName name="_22__123Graph_AGraphique_2A" hidden="1">#REF!</definedName>
    <definedName name="_22__123Graph_C_Chart_1A" hidden="1">#REF!</definedName>
    <definedName name="_23__123Graph_AGraphique_30I" hidden="1">#REF!</definedName>
    <definedName name="_23__123Graph_CCHART_10" hidden="1">#REF!</definedName>
    <definedName name="_24__123Graph_AGraphique_31J" hidden="1">#REF!</definedName>
    <definedName name="_24__123Graph_CCHART_11" hidden="1">#REF!</definedName>
    <definedName name="_25__123Graph_AGraphique_32J" hidden="1">#REF!</definedName>
    <definedName name="_25__123Graph_CCHART_12" hidden="1">#REF!</definedName>
    <definedName name="_26__123Graph_AGraphique_3A" hidden="1">#REF!</definedName>
    <definedName name="_26__123Graph_CCHART_13" hidden="1">#REF!</definedName>
    <definedName name="_27__123Graph_AGraphique_4A" hidden="1">#REF!</definedName>
    <definedName name="_27__123Graph_CCHART_14" hidden="1">#REF!</definedName>
    <definedName name="_28__123Graph_AGraphique_5B" hidden="1">#REF!</definedName>
    <definedName name="_28__123Graph_CCHART_15" hidden="1">#REF!</definedName>
    <definedName name="_29__123Graph_AGraphique_6B" hidden="1">#REF!</definedName>
    <definedName name="_29__123Graph_CCHART_16" hidden="1">#REF!</definedName>
    <definedName name="_3__123Graph_ACHART_19" hidden="1">#REF!</definedName>
    <definedName name="_3__123Graph_AGraphique_12C" hidden="1">#REF!</definedName>
    <definedName name="_30__123Graph_AGraphique_7B" hidden="1">#REF!</definedName>
    <definedName name="_30__123Graph_CCHART_17" hidden="1">#REF!</definedName>
    <definedName name="_31__123Graph_AGraphique_8B" hidden="1">#REF!</definedName>
    <definedName name="_31__123Graph_CCHART_18" hidden="1">#REF!</definedName>
    <definedName name="_32__123Graph_AGraphique_9C" hidden="1">#REF!</definedName>
    <definedName name="_32__123Graph_CCHART_4" hidden="1">#REF!</definedName>
    <definedName name="_33__123Graph_BGraphique_10C" hidden="1">#REF!</definedName>
    <definedName name="_33__123Graph_CCHART_6" hidden="1">#REF!</definedName>
    <definedName name="_34__123Graph_BGraphique_11C" hidden="1">#REF!</definedName>
    <definedName name="_34__123Graph_CCHART_7" hidden="1">#REF!</definedName>
    <definedName name="_35__123Graph_BGraphique_12C" hidden="1">#REF!</definedName>
    <definedName name="_35__123Graph_CCHART_8" hidden="1">#REF!</definedName>
    <definedName name="_36__123Graph_BGraphique_13D" hidden="1">#REF!</definedName>
    <definedName name="_36__123Graph_CCHART_9" hidden="1">#REF!</definedName>
    <definedName name="_37__123Graph_BGraphique_14D" hidden="1">#REF!</definedName>
    <definedName name="_37__123Graph_D_Chart_1A" hidden="1">#REF!</definedName>
    <definedName name="_38__123Graph_BGraphique_15D" hidden="1">#REF!</definedName>
    <definedName name="_38__123Graph_DCHART_10" hidden="1">#REF!</definedName>
    <definedName name="_39__123Graph_BGraphique_16D" hidden="1">#REF!</definedName>
    <definedName name="_39__123Graph_DCHART_11" hidden="1">#REF!</definedName>
    <definedName name="_4__123Graph_AChart_2" hidden="1">#REF!</definedName>
    <definedName name="_4__123Graph_AGraphique_13D" hidden="1">#REF!</definedName>
    <definedName name="_40__123Graph_BGraphique_17E" hidden="1">#REF!</definedName>
    <definedName name="_40__123Graph_DCHART_12" hidden="1">#REF!</definedName>
    <definedName name="_41__123Graph_BGraphique_18E" hidden="1">#REF!</definedName>
    <definedName name="_41__123Graph_DCHART_13" hidden="1">#REF!</definedName>
    <definedName name="_42__123Graph_BGraphique_19E" hidden="1">#REF!</definedName>
    <definedName name="_42__123Graph_DCHART_14" hidden="1">#REF!</definedName>
    <definedName name="_43__123Graph_BGraphique_1A" hidden="1">#REF!</definedName>
    <definedName name="_43__123Graph_DCHART_15" hidden="1">#REF!</definedName>
    <definedName name="_44__123Graph_BGraphique_20E" hidden="1">#REF!</definedName>
    <definedName name="_44__123Graph_DCHART_16" hidden="1">#REF!</definedName>
    <definedName name="_45__123Graph_BGraphique_21G" hidden="1">#REF!</definedName>
    <definedName name="_45__123Graph_DCHART_17" hidden="1">#REF!</definedName>
    <definedName name="_46__123Graph_BGraphique_22G" hidden="1">#REF!</definedName>
    <definedName name="_46__123Graph_DCHART_18" hidden="1">#REF!</definedName>
    <definedName name="_47__123Graph_BGraphique_23G" hidden="1">#REF!</definedName>
    <definedName name="_47__123Graph_DCHART_4" hidden="1">#REF!</definedName>
    <definedName name="_48__123Graph_BGraphique_24G" hidden="1">#REF!</definedName>
    <definedName name="_48__123Graph_DCHART_6" hidden="1">#REF!</definedName>
    <definedName name="_49__123Graph_BGraphique_27H" hidden="1">#REF!</definedName>
    <definedName name="_49__123Graph_DCHART_7" hidden="1">#REF!</definedName>
    <definedName name="_5__123Graph_ACHART_20" hidden="1">#REF!</definedName>
    <definedName name="_5__123Graph_AGraphique_14D" hidden="1">#REF!</definedName>
    <definedName name="_50__123Graph_BGraphique_28I" hidden="1">#REF!</definedName>
    <definedName name="_50__123Graph_DCHART_8" hidden="1">#REF!</definedName>
    <definedName name="_51__123Graph_BGraphique_29I" hidden="1">#REF!</definedName>
    <definedName name="_51__123Graph_DCHART_9" hidden="1">#REF!</definedName>
    <definedName name="_52__123Graph_BGraphique_2A" hidden="1">#REF!</definedName>
    <definedName name="_52__123Graph_E_Chart_1A" hidden="1">#REF!</definedName>
    <definedName name="_53__123Graph_BGraphique_30I" hidden="1">#REF!</definedName>
    <definedName name="_53__123Graph_ECHART_10" hidden="1">#REF!</definedName>
    <definedName name="_54__123Graph_BGraphique_31J" hidden="1">#REF!</definedName>
    <definedName name="_54__123Graph_ECHART_11" hidden="1">#REF!</definedName>
    <definedName name="_55__123Graph_BGraphique_32J" hidden="1">#REF!</definedName>
    <definedName name="_55__123Graph_ECHART_12" hidden="1">#REF!</definedName>
    <definedName name="_56__123Graph_BGraphique_3A" hidden="1">#REF!</definedName>
    <definedName name="_56__123Graph_ECHART_13" hidden="1">#REF!</definedName>
    <definedName name="_57__123Graph_BGraphique_4A" hidden="1">#REF!</definedName>
    <definedName name="_57__123Graph_ECHART_14" hidden="1">#REF!</definedName>
    <definedName name="_58__123Graph_BGraphique_5B" hidden="1">#REF!</definedName>
    <definedName name="_58__123Graph_ECHART_15" hidden="1">#REF!</definedName>
    <definedName name="_59__123Graph_BGraphique_6B" hidden="1">#REF!</definedName>
    <definedName name="_59__123Graph_ECHART_16" hidden="1">#REF!</definedName>
    <definedName name="_6__123Graph_ACHART_22" hidden="1">#REF!</definedName>
    <definedName name="_6__123Graph_AGraphique_11C" hidden="1">#REF!</definedName>
    <definedName name="_6__123Graph_AGraphique_15D" hidden="1">#REF!</definedName>
    <definedName name="_60__123Graph_BGraphique_7B" hidden="1">#REF!</definedName>
    <definedName name="_60__123Graph_ECHART_17" hidden="1">#REF!</definedName>
    <definedName name="_61__123Graph_BGraphique_8B" hidden="1">#REF!</definedName>
    <definedName name="_61__123Graph_ECHART_18" hidden="1">#REF!</definedName>
    <definedName name="_62__123Graph_AGraphique_9C" hidden="1">#REF!</definedName>
    <definedName name="_62__123Graph_BGraphique_9C" hidden="1">#REF!</definedName>
    <definedName name="_62__123Graph_ECHART_4" hidden="1">#REF!</definedName>
    <definedName name="_63__123Graph_ECHART_6" hidden="1">#REF!</definedName>
    <definedName name="_63__123Graph_XGraphique_10C" hidden="1">#REF!</definedName>
    <definedName name="_64__123Graph_ECHART_7" hidden="1">#REF!</definedName>
    <definedName name="_64__123Graph_XGraphique_11C" hidden="1">#REF!</definedName>
    <definedName name="_65__123Graph_BGraphique_10C" hidden="1">#REF!</definedName>
    <definedName name="_65__123Graph_ECHART_8" hidden="1">#REF!</definedName>
    <definedName name="_65__123Graph_XGraphique_12C" hidden="1">#REF!</definedName>
    <definedName name="_66__123Graph_ECHART_9" hidden="1">#REF!</definedName>
    <definedName name="_66__123Graph_XGraphique_14D" hidden="1">#REF!</definedName>
    <definedName name="_67__123Graph_F_Chart_1A" hidden="1">#REF!</definedName>
    <definedName name="_67__123Graph_XGraphique_15D" hidden="1">#REF!</definedName>
    <definedName name="_68__123Graph_BGraphique_11C" hidden="1">#REF!</definedName>
    <definedName name="_68__123Graph_FCHART_10" hidden="1">#REF!</definedName>
    <definedName name="_68__123Graph_XGraphique_16D" hidden="1">#REF!</definedName>
    <definedName name="_69__123Graph_FCHART_11" hidden="1">#REF!</definedName>
    <definedName name="_69__123Graph_XGraphique_18E" hidden="1">#REF!</definedName>
    <definedName name="_7__123Graph_ACHART_23" hidden="1">#REF!</definedName>
    <definedName name="_7__123Graph_AGraphique_16D" hidden="1">#REF!</definedName>
    <definedName name="_70__123Graph_FCHART_12" hidden="1">#REF!</definedName>
    <definedName name="_70__123Graph_XGraphique_19E" hidden="1">#REF!</definedName>
    <definedName name="_71__123Graph_BGraphique_12C" hidden="1">#REF!</definedName>
    <definedName name="_71__123Graph_FCHART_13" hidden="1">#REF!</definedName>
    <definedName name="_71__123Graph_XGraphique_1A" hidden="1">#REF!</definedName>
    <definedName name="_72__123Graph_FCHART_14" hidden="1">#REF!</definedName>
    <definedName name="_72__123Graph_XGraphique_20E" hidden="1">#REF!</definedName>
    <definedName name="_73__123Graph_FCHART_15" hidden="1">#REF!</definedName>
    <definedName name="_73__123Graph_XGraphique_22G" hidden="1">#REF!</definedName>
    <definedName name="_74__123Graph_BGraphique_13D" hidden="1">#REF!</definedName>
    <definedName name="_74__123Graph_FCHART_16" hidden="1">#REF!</definedName>
    <definedName name="_74__123Graph_XGraphique_23G" hidden="1">#REF!</definedName>
    <definedName name="_75__123Graph_FCHART_4" hidden="1">#REF!</definedName>
    <definedName name="_75__123Graph_XGraphique_24G" hidden="1">#REF!</definedName>
    <definedName name="_76__123Graph_FCHART_6" hidden="1">#REF!</definedName>
    <definedName name="_76__123Graph_XGraphique_26H" hidden="1">#REF!</definedName>
    <definedName name="_77__123Graph_BGraphique_14D" hidden="1">#REF!</definedName>
    <definedName name="_77__123Graph_FCHART_7" hidden="1">#REF!</definedName>
    <definedName name="_77__123Graph_XGraphique_27H" hidden="1">#REF!</definedName>
    <definedName name="_78__123Graph_FCHART_8" hidden="1">#REF!</definedName>
    <definedName name="_78__123Graph_XGraphique_2A" hidden="1">#REF!</definedName>
    <definedName name="_79__123Graph_FCHART_9" hidden="1">#REF!</definedName>
    <definedName name="_79__123Graph_XGraphique_32J" hidden="1">#REF!</definedName>
    <definedName name="_8__123Graph_AChart_3" hidden="1">#REF!</definedName>
    <definedName name="_8__123Graph_AGraphique_17E" hidden="1">#REF!</definedName>
    <definedName name="_80__123Graph_BGraphique_15D" hidden="1">#REF!</definedName>
    <definedName name="_80__123Graph_X_Chart_1A" hidden="1">#REF!</definedName>
    <definedName name="_80__123Graph_XGraphique_3A" hidden="1">#REF!</definedName>
    <definedName name="_81__123Graph_XChart_1" hidden="1">#REF!</definedName>
    <definedName name="_81__123Graph_XGraphique_4A" hidden="1">#REF!</definedName>
    <definedName name="_82__123Graph_XChart_2" hidden="1">#REF!</definedName>
    <definedName name="_82__123Graph_XGraphique_6B" hidden="1">#REF!</definedName>
    <definedName name="_83__123Graph_BGraphique_16D" hidden="1">#REF!</definedName>
    <definedName name="_83__123Graph_XCHART_20" hidden="1">#REF!</definedName>
    <definedName name="_83__123Graph_XGraphique_7B" hidden="1">#REF!</definedName>
    <definedName name="_84__123Graph_BGraphique_17E" hidden="1">#REF!</definedName>
    <definedName name="_84__123Graph_XCHART_23" hidden="1">#REF!</definedName>
    <definedName name="_84__123Graph_XGraphique_8B" hidden="1">#REF!</definedName>
    <definedName name="_85__123Graph_BGraphique_18E" hidden="1">#REF!</definedName>
    <definedName name="_85__123Graph_XChart_3" hidden="1">#REF!</definedName>
    <definedName name="_86__123Graph_BGraphique_19E" hidden="1">#REF!</definedName>
    <definedName name="_86__123Graph_XChart_4" hidden="1">#REF!</definedName>
    <definedName name="_87__123Graph_XChart_5" hidden="1">#REF!</definedName>
    <definedName name="_88__123Graph_XChart_6" hidden="1">#REF!</definedName>
    <definedName name="_89__123Graph_BGraphique_1A" hidden="1">#REF!</definedName>
    <definedName name="_9__123Graph_AChart_4" hidden="1">#REF!</definedName>
    <definedName name="_9__123Graph_AGraphique_12C" hidden="1">#REF!</definedName>
    <definedName name="_9__123Graph_AGraphique_18E" hidden="1">#REF!</definedName>
    <definedName name="_90__123Graph_BGraphique_20E" hidden="1">#REF!</definedName>
    <definedName name="_91__123Graph_BGraphique_21G" hidden="1">#REF!</definedName>
    <definedName name="_92__123Graph_BGraphique_22G" hidden="1">#REF!</definedName>
    <definedName name="_93__123Graph_BGraphique_23G" hidden="1">#REF!</definedName>
    <definedName name="_94__123Graph_BGraphique_24G" hidden="1">#REF!</definedName>
    <definedName name="_95__123Graph_BGraphique_27H" hidden="1">#REF!</definedName>
    <definedName name="_96__123Graph_BGraphique_28I" hidden="1">#REF!</definedName>
    <definedName name="_97__123Graph_BGraphique_29I" hidden="1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Fill" hidden="1">#REF!</definedName>
    <definedName name="_xlnm._FilterDatabase" localSheetId="1" hidden="1">'Marketing Fund 2022'!$B$7:$G$99</definedName>
    <definedName name="_xlnm._FilterDatabase" localSheetId="2" hidden="1">'Marketing Fund 2023'!$A$3:$T$85</definedName>
    <definedName name="_xlnm._FilterDatabase" localSheetId="3" hidden="1">'Marketing Fund 2024'!$A$3:$BM$99</definedName>
    <definedName name="_xlnm._FilterDatabase" localSheetId="4" hidden="1">'Marketing Fund 2025'!$B$3:$BG$105</definedName>
    <definedName name="_xlnm._FilterDatabase" localSheetId="5" hidden="1">'Marketing Fund 2026 Plan'!$B$3:$AV$58</definedName>
    <definedName name="_xlnm._FilterDatabase" hidden="1">#REF!</definedName>
    <definedName name="_I2" localSheetId="1" hidden="1">{"PVGraph2",#N/A,FALSE,"PV Data"}</definedName>
    <definedName name="_I2" localSheetId="3" hidden="1">{"PVGraph2",#N/A,FALSE,"PV Data"}</definedName>
    <definedName name="_I2" localSheetId="4" hidden="1">{"PVGraph2",#N/A,FALSE,"PV Data"}</definedName>
    <definedName name="_I2" localSheetId="5" hidden="1">{"PVGraph2",#N/A,FALSE,"PV Data"}</definedName>
    <definedName name="_I2" hidden="1">{"PVGraph2",#N/A,FALSE,"PV Data"}</definedName>
    <definedName name="_I22" localSheetId="1" hidden="1">{"PVGraph2",#N/A,FALSE,"PV Data"}</definedName>
    <definedName name="_I22" localSheetId="3" hidden="1">{"PVGraph2",#N/A,FALSE,"PV Data"}</definedName>
    <definedName name="_I22" localSheetId="4" hidden="1">{"PVGraph2",#N/A,FALSE,"PV Data"}</definedName>
    <definedName name="_I22" localSheetId="5" hidden="1">{"PVGraph2",#N/A,FALSE,"PV Data"}</definedName>
    <definedName name="_I22" hidden="1">{"PVGraph2",#N/A,FALSE,"PV Data"}</definedName>
    <definedName name="_I3" localSheetId="1" hidden="1">{"PVGraph2",#N/A,FALSE,"PV Data"}</definedName>
    <definedName name="_I3" localSheetId="3" hidden="1">{"PVGraph2",#N/A,FALSE,"PV Data"}</definedName>
    <definedName name="_I3" localSheetId="4" hidden="1">{"PVGraph2",#N/A,FALSE,"PV Data"}</definedName>
    <definedName name="_I3" localSheetId="5" hidden="1">{"PVGraph2",#N/A,FALSE,"PV Data"}</definedName>
    <definedName name="_I3" hidden="1">{"PVGraph2",#N/A,FALSE,"PV Data"}</definedName>
    <definedName name="_k1" localSheetId="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k1" localSheetId="3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k1" localSheetId="4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k1" localSheetId="5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k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_Key1" hidden="1">#REF!</definedName>
    <definedName name="_Key2" hidden="1">#REF!</definedName>
    <definedName name="_NSO2" localSheetId="1" hidden="1">{"'Sheet1'!$L$16"}</definedName>
    <definedName name="_NSO2" localSheetId="3" hidden="1">{"'Sheet1'!$L$16"}</definedName>
    <definedName name="_NSO2" localSheetId="4" hidden="1">{"'Sheet1'!$L$16"}</definedName>
    <definedName name="_NSO2" localSheetId="5" hidden="1">{"'Sheet1'!$L$16"}</definedName>
    <definedName name="_NSO2" hidden="1">{"'Sheet1'!$L$16"}</definedName>
    <definedName name="_OPO2" localSheetId="1" hidden="1">{#N/A,#N/A,FALSE,"지침";#N/A,#N/A,FALSE,"환경분석";#N/A,#N/A,FALSE,"Sheet16"}</definedName>
    <definedName name="_OPO2" localSheetId="3" hidden="1">{#N/A,#N/A,FALSE,"지침";#N/A,#N/A,FALSE,"환경분석";#N/A,#N/A,FALSE,"Sheet16"}</definedName>
    <definedName name="_OPO2" localSheetId="4" hidden="1">{#N/A,#N/A,FALSE,"지침";#N/A,#N/A,FALSE,"환경분석";#N/A,#N/A,FALSE,"Sheet16"}</definedName>
    <definedName name="_OPO2" localSheetId="5" hidden="1">{#N/A,#N/A,FALSE,"지침";#N/A,#N/A,FALSE,"환경분석";#N/A,#N/A,FALSE,"Sheet16"}</definedName>
    <definedName name="_OPO2" hidden="1">{#N/A,#N/A,FALSE,"지침";#N/A,#N/A,FALSE,"환경분석";#N/A,#N/A,FALSE,"Sheet16"}</definedName>
    <definedName name="_OPO222" localSheetId="1" hidden="1">{#N/A,#N/A,FALSE,"지침";#N/A,#N/A,FALSE,"환경분석";#N/A,#N/A,FALSE,"Sheet16"}</definedName>
    <definedName name="_OPO222" localSheetId="3" hidden="1">{#N/A,#N/A,FALSE,"지침";#N/A,#N/A,FALSE,"환경분석";#N/A,#N/A,FALSE,"Sheet16"}</definedName>
    <definedName name="_OPO222" localSheetId="4" hidden="1">{#N/A,#N/A,FALSE,"지침";#N/A,#N/A,FALSE,"환경분석";#N/A,#N/A,FALSE,"Sheet16"}</definedName>
    <definedName name="_OPO222" localSheetId="5" hidden="1">{#N/A,#N/A,FALSE,"지침";#N/A,#N/A,FALSE,"환경분석";#N/A,#N/A,FALSE,"Sheet16"}</definedName>
    <definedName name="_OPO222" hidden="1">{#N/A,#N/A,FALSE,"지침";#N/A,#N/A,FALSE,"환경분석";#N/A,#N/A,FALSE,"Sheet16"}</definedName>
    <definedName name="_OPO223" localSheetId="1" hidden="1">{#N/A,#N/A,FALSE,"지침";#N/A,#N/A,FALSE,"환경분석";#N/A,#N/A,FALSE,"Sheet16"}</definedName>
    <definedName name="_OPO223" localSheetId="3" hidden="1">{#N/A,#N/A,FALSE,"지침";#N/A,#N/A,FALSE,"환경분석";#N/A,#N/A,FALSE,"Sheet16"}</definedName>
    <definedName name="_OPO223" localSheetId="4" hidden="1">{#N/A,#N/A,FALSE,"지침";#N/A,#N/A,FALSE,"환경분석";#N/A,#N/A,FALSE,"Sheet16"}</definedName>
    <definedName name="_OPO223" localSheetId="5" hidden="1">{#N/A,#N/A,FALSE,"지침";#N/A,#N/A,FALSE,"환경분석";#N/A,#N/A,FALSE,"Sheet16"}</definedName>
    <definedName name="_OPO223" hidden="1">{#N/A,#N/A,FALSE,"지침";#N/A,#N/A,FALSE,"환경분석";#N/A,#N/A,FALSE,"Sheet16"}</definedName>
    <definedName name="_OPO3" localSheetId="1" hidden="1">{#N/A,#N/A,FALSE,"지침";#N/A,#N/A,FALSE,"환경분석";#N/A,#N/A,FALSE,"Sheet16"}</definedName>
    <definedName name="_OPO3" localSheetId="3" hidden="1">{#N/A,#N/A,FALSE,"지침";#N/A,#N/A,FALSE,"환경분석";#N/A,#N/A,FALSE,"Sheet16"}</definedName>
    <definedName name="_OPO3" localSheetId="4" hidden="1">{#N/A,#N/A,FALSE,"지침";#N/A,#N/A,FALSE,"환경분석";#N/A,#N/A,FALSE,"Sheet16"}</definedName>
    <definedName name="_OPO3" localSheetId="5" hidden="1">{#N/A,#N/A,FALSE,"지침";#N/A,#N/A,FALSE,"환경분석";#N/A,#N/A,FALSE,"Sheet16"}</definedName>
    <definedName name="_OPO3" hidden="1">{#N/A,#N/A,FALSE,"지침";#N/A,#N/A,FALSE,"환경분석";#N/A,#N/A,FALSE,"Sheet16"}</definedName>
    <definedName name="_Order1" hidden="1">255</definedName>
    <definedName name="_Order2" hidden="1">255</definedName>
    <definedName name="_Parse_Out" hidden="1">#N/A</definedName>
    <definedName name="_q234" hidden="1">#REF!</definedName>
    <definedName name="_Regression_Out" hidden="1">#REF!</definedName>
    <definedName name="_Regression_X" hidden="1">#REF!</definedName>
    <definedName name="_Regression_Y" hidden="1">#REF!</definedName>
    <definedName name="_s1" hidden="1">#REF!</definedName>
    <definedName name="_s2" hidden="1">#REF!</definedName>
    <definedName name="_s3" hidden="1">#REF!</definedName>
    <definedName name="_s4" hidden="1">#REF!</definedName>
    <definedName name="_s5" hidden="1">#REF!</definedName>
    <definedName name="_s6" hidden="1">#REF!</definedName>
    <definedName name="_Sort" hidden="1">#REF!</definedName>
    <definedName name="_w1" localSheetId="1" hidden="1">{"PVGraph2",#N/A,FALSE,"PV Data"}</definedName>
    <definedName name="_w1" localSheetId="3" hidden="1">{"PVGraph2",#N/A,FALSE,"PV Data"}</definedName>
    <definedName name="_w1" localSheetId="4" hidden="1">{"PVGraph2",#N/A,FALSE,"PV Data"}</definedName>
    <definedName name="_w1" localSheetId="5" hidden="1">{"PVGraph2",#N/A,FALSE,"PV Data"}</definedName>
    <definedName name="_w1" hidden="1">{"PVGraph2",#N/A,FALSE,"PV Data"}</definedName>
    <definedName name="_w2" localSheetId="1" hidden="1">{"PVGraph2",#N/A,FALSE,"PV Data"}</definedName>
    <definedName name="_w2" localSheetId="3" hidden="1">{"PVGraph2",#N/A,FALSE,"PV Data"}</definedName>
    <definedName name="_w2" localSheetId="4" hidden="1">{"PVGraph2",#N/A,FALSE,"PV Data"}</definedName>
    <definedName name="_w2" localSheetId="5" hidden="1">{"PVGraph2",#N/A,FALSE,"PV Data"}</definedName>
    <definedName name="_w2" hidden="1">{"PVGraph2",#N/A,FALSE,"PV Data"}</definedName>
    <definedName name="_w3" localSheetId="1" hidden="1">{"PVGraph2",#N/A,FALSE,"PV Data"}</definedName>
    <definedName name="_w3" localSheetId="3" hidden="1">{"PVGraph2",#N/A,FALSE,"PV Data"}</definedName>
    <definedName name="_w3" localSheetId="4" hidden="1">{"PVGraph2",#N/A,FALSE,"PV Data"}</definedName>
    <definedName name="_w3" localSheetId="5" hidden="1">{"PVGraph2",#N/A,FALSE,"PV Data"}</definedName>
    <definedName name="_w3" hidden="1">{"PVGraph2",#N/A,FALSE,"PV Data"}</definedName>
    <definedName name="_WIN233" localSheetId="1" hidden="1">{#N/A,#N/A,FALSE,"지침";#N/A,#N/A,FALSE,"환경분석";#N/A,#N/A,FALSE,"Sheet16"}</definedName>
    <definedName name="_WIN233" localSheetId="3" hidden="1">{#N/A,#N/A,FALSE,"지침";#N/A,#N/A,FALSE,"환경분석";#N/A,#N/A,FALSE,"Sheet16"}</definedName>
    <definedName name="_WIN233" localSheetId="4" hidden="1">{#N/A,#N/A,FALSE,"지침";#N/A,#N/A,FALSE,"환경분석";#N/A,#N/A,FALSE,"Sheet16"}</definedName>
    <definedName name="_WIN233" localSheetId="5" hidden="1">{#N/A,#N/A,FALSE,"지침";#N/A,#N/A,FALSE,"환경분석";#N/A,#N/A,FALSE,"Sheet16"}</definedName>
    <definedName name="_WIN233" hidden="1">{#N/A,#N/A,FALSE,"지침";#N/A,#N/A,FALSE,"환경분석";#N/A,#N/A,FALSE,"Sheet16"}</definedName>
    <definedName name="_y2" localSheetId="1" hidden="1">{"PVGraph2",#N/A,FALSE,"PV Data"}</definedName>
    <definedName name="_y2" localSheetId="3" hidden="1">{"PVGraph2",#N/A,FALSE,"PV Data"}</definedName>
    <definedName name="_y2" localSheetId="4" hidden="1">{"PVGraph2",#N/A,FALSE,"PV Data"}</definedName>
    <definedName name="_y2" localSheetId="5" hidden="1">{"PVGraph2",#N/A,FALSE,"PV Data"}</definedName>
    <definedName name="_y2" hidden="1">{"PVGraph2",#N/A,FALSE,"PV Data"}</definedName>
    <definedName name="aaaaa" localSheetId="1" hidden="1">{"all",#N/A,FALSE,"Corporate costs";"all",#N/A,FALSE,"Corporate costs (2)"}</definedName>
    <definedName name="aaaaa" localSheetId="3" hidden="1">{"all",#N/A,FALSE,"Corporate costs";"all",#N/A,FALSE,"Corporate costs (2)"}</definedName>
    <definedName name="aaaaa" localSheetId="4" hidden="1">{"all",#N/A,FALSE,"Corporate costs";"all",#N/A,FALSE,"Corporate costs (2)"}</definedName>
    <definedName name="aaaaa" localSheetId="5" hidden="1">{"all",#N/A,FALSE,"Corporate costs";"all",#N/A,FALSE,"Corporate costs (2)"}</definedName>
    <definedName name="aaaaa" hidden="1">{"all",#N/A,FALSE,"Corporate costs";"all",#N/A,FALSE,"Corporate costs (2)"}</definedName>
    <definedName name="abd" localSheetId="1" hidden="1">{#N/A,#N/A,FALSE,"지침";#N/A,#N/A,FALSE,"환경분석";#N/A,#N/A,FALSE,"Sheet16"}</definedName>
    <definedName name="abd" localSheetId="3" hidden="1">{#N/A,#N/A,FALSE,"지침";#N/A,#N/A,FALSE,"환경분석";#N/A,#N/A,FALSE,"Sheet16"}</definedName>
    <definedName name="abd" localSheetId="4" hidden="1">{#N/A,#N/A,FALSE,"지침";#N/A,#N/A,FALSE,"환경분석";#N/A,#N/A,FALSE,"Sheet16"}</definedName>
    <definedName name="abd" localSheetId="5" hidden="1">{#N/A,#N/A,FALSE,"지침";#N/A,#N/A,FALSE,"환경분석";#N/A,#N/A,FALSE,"Sheet16"}</definedName>
    <definedName name="abd" hidden="1">{#N/A,#N/A,FALSE,"지침";#N/A,#N/A,FALSE,"환경분석";#N/A,#N/A,FALSE,"Sheet16"}</definedName>
    <definedName name="andy" localSheetId="1" hidden="1">{"sum op",#N/A,FALSE,"Sum OP";"op hy",#N/A,FALSE,"Sum OP (HY)";"sum tp",#N/A,FALSE,"Sum TP"}</definedName>
    <definedName name="andy" localSheetId="3" hidden="1">{"sum op",#N/A,FALSE,"Sum OP";"op hy",#N/A,FALSE,"Sum OP (HY)";"sum tp",#N/A,FALSE,"Sum TP"}</definedName>
    <definedName name="andy" localSheetId="4" hidden="1">{"sum op",#N/A,FALSE,"Sum OP";"op hy",#N/A,FALSE,"Sum OP (HY)";"sum tp",#N/A,FALSE,"Sum TP"}</definedName>
    <definedName name="andy" localSheetId="5" hidden="1">{"sum op",#N/A,FALSE,"Sum OP";"op hy",#N/A,FALSE,"Sum OP (HY)";"sum tp",#N/A,FALSE,"Sum TP"}</definedName>
    <definedName name="andy" hidden="1">{"sum op",#N/A,FALSE,"Sum OP";"op hy",#N/A,FALSE,"Sum OP (HY)";"sum tp",#N/A,FALSE,"Sum TP"}</definedName>
    <definedName name="arf" localSheetId="1" hidden="1">{"all",#N/A,FALSE,"Vs LE";"ALL",#N/A,FALSE,"Summary"}</definedName>
    <definedName name="arf" localSheetId="3" hidden="1">{"all",#N/A,FALSE,"Vs LE";"ALL",#N/A,FALSE,"Summary"}</definedName>
    <definedName name="arf" localSheetId="4" hidden="1">{"all",#N/A,FALSE,"Vs LE";"ALL",#N/A,FALSE,"Summary"}</definedName>
    <definedName name="arf" localSheetId="5" hidden="1">{"all",#N/A,FALSE,"Vs LE";"ALL",#N/A,FALSE,"Summary"}</definedName>
    <definedName name="arf" hidden="1">{"all",#N/A,FALSE,"Vs LE";"ALL",#N/A,FALSE,"Summary"}</definedName>
    <definedName name="AS2DocOpenMode" hidden="1">"AS2DocumentEdit"</definedName>
    <definedName name="asdfdsf" localSheetId="1" hidden="1">{"all",#N/A,FALSE,"FLASH"}</definedName>
    <definedName name="asdfdsf" localSheetId="3" hidden="1">{"all",#N/A,FALSE,"FLASH"}</definedName>
    <definedName name="asdfdsf" localSheetId="4" hidden="1">{"all",#N/A,FALSE,"FLASH"}</definedName>
    <definedName name="asdfdsf" localSheetId="5" hidden="1">{"all",#N/A,FALSE,"FLASH"}</definedName>
    <definedName name="asdfdsf" hidden="1">{"all",#N/A,FALSE,"FLASH"}</definedName>
    <definedName name="asfdasdf" localSheetId="1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asfdasdf" localSheetId="3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asfdasdf" localSheetId="4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asfdasdf" localSheetId="5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asfdasdf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baaaaa" localSheetId="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baaaaa" localSheetId="3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baaaaa" localSheetId="4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baaaaa" localSheetId="5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baaaaa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binh" localSheetId="1" hidden="1">{"'Sheet1'!$L$16"}</definedName>
    <definedName name="binh" localSheetId="3" hidden="1">{"'Sheet1'!$L$16"}</definedName>
    <definedName name="binh" localSheetId="4" hidden="1">{"'Sheet1'!$L$16"}</definedName>
    <definedName name="binh" localSheetId="5" hidden="1">{"'Sheet1'!$L$16"}</definedName>
    <definedName name="binh" hidden="1">{"'Sheet1'!$L$16"}</definedName>
    <definedName name="BLPH100" hidden="1">#REF!</definedName>
    <definedName name="BLPH101" hidden="1">#REF!</definedName>
    <definedName name="BLPH102" hidden="1">#REF!</definedName>
    <definedName name="BLPH103" hidden="1">#REF!</definedName>
    <definedName name="BLPH104" hidden="1">#REF!</definedName>
    <definedName name="BLPH105" hidden="1">#REF!</definedName>
    <definedName name="BLPH106" hidden="1">#REF!</definedName>
    <definedName name="BLPH107" hidden="1">#REF!</definedName>
    <definedName name="BLPH108" hidden="1">#REF!</definedName>
    <definedName name="BLPH109" hidden="1">#REF!</definedName>
    <definedName name="BLPH110" hidden="1">#REF!</definedName>
    <definedName name="BLPH111" hidden="1">#REF!</definedName>
    <definedName name="BLPH112" hidden="1">#REF!</definedName>
    <definedName name="BLPH113" hidden="1">#REF!</definedName>
    <definedName name="BLPH114" hidden="1">#REF!</definedName>
    <definedName name="BLPH115" hidden="1">#REF!</definedName>
    <definedName name="BLPH116" hidden="1">#REF!</definedName>
    <definedName name="BLPH117" hidden="1">#REF!</definedName>
    <definedName name="BLPH118" hidden="1">#REF!</definedName>
    <definedName name="BLPH119" hidden="1">#REF!</definedName>
    <definedName name="BLPH120" hidden="1">#REF!</definedName>
    <definedName name="BLPH121" hidden="1">#REF!</definedName>
    <definedName name="BLPH122" hidden="1">#REF!</definedName>
    <definedName name="BLPH123" hidden="1">#REF!</definedName>
    <definedName name="BLPH124" hidden="1">#REF!</definedName>
    <definedName name="BLPH125" hidden="1">#REF!</definedName>
    <definedName name="BLPH126" hidden="1">#REF!</definedName>
    <definedName name="BLPH127" hidden="1">#REF!</definedName>
    <definedName name="BLPH128" hidden="1">#REF!</definedName>
    <definedName name="BLPH26" hidden="1">#REF!</definedName>
    <definedName name="BLPH27" hidden="1">#REF!</definedName>
    <definedName name="BLPH28" hidden="1">#REF!</definedName>
    <definedName name="BLPH29" hidden="1">#REF!</definedName>
    <definedName name="BLPH30" hidden="1">#REF!</definedName>
    <definedName name="BLPH31" hidden="1">#REF!</definedName>
    <definedName name="BLPH32" hidden="1">#REF!</definedName>
    <definedName name="BLPH33" hidden="1">#REF!</definedName>
    <definedName name="BLPH34" hidden="1">#REF!</definedName>
    <definedName name="BLPH35" hidden="1">#REF!</definedName>
    <definedName name="BLPH36" hidden="1">#REF!</definedName>
    <definedName name="BLPH37" hidden="1">#REF!</definedName>
    <definedName name="BLPH38" hidden="1">#REF!</definedName>
    <definedName name="BLPH39" hidden="1">#REF!</definedName>
    <definedName name="BLPH40" hidden="1">#REF!</definedName>
    <definedName name="BLPH41" hidden="1">#REF!</definedName>
    <definedName name="BLPH42" hidden="1">#REF!</definedName>
    <definedName name="BLPH43" hidden="1">#REF!</definedName>
    <definedName name="BLPH44" hidden="1">#REF!</definedName>
    <definedName name="BLPH45" hidden="1">#REF!</definedName>
    <definedName name="BLPH46" hidden="1">#REF!</definedName>
    <definedName name="BLPH47" hidden="1">#REF!</definedName>
    <definedName name="BLPH48" hidden="1">#REF!</definedName>
    <definedName name="BLPH49" hidden="1">#REF!</definedName>
    <definedName name="BLPH50" hidden="1">#REF!</definedName>
    <definedName name="BLPH51" hidden="1">#REF!</definedName>
    <definedName name="BLPH52" hidden="1">#REF!</definedName>
    <definedName name="BLPH53" hidden="1">#REF!</definedName>
    <definedName name="BLPH54" hidden="1">#REF!</definedName>
    <definedName name="BLPH55" hidden="1">#REF!</definedName>
    <definedName name="BLPH56" hidden="1">#REF!</definedName>
    <definedName name="BLPH57" hidden="1">#REF!</definedName>
    <definedName name="BLPH58" hidden="1">#REF!</definedName>
    <definedName name="BLPH59" hidden="1">#REF!</definedName>
    <definedName name="BLPH60" hidden="1">#REF!</definedName>
    <definedName name="BLPH61" hidden="1">#REF!</definedName>
    <definedName name="BLPH62" hidden="1">#REF!</definedName>
    <definedName name="BLPH63" hidden="1">#REF!</definedName>
    <definedName name="BLPH64" hidden="1">#REF!</definedName>
    <definedName name="BLPH65" hidden="1">#REF!</definedName>
    <definedName name="BLPH66" hidden="1">#REF!</definedName>
    <definedName name="BLPH67" hidden="1">#REF!</definedName>
    <definedName name="BLPH68" hidden="1">#REF!</definedName>
    <definedName name="BLPH69" hidden="1">#REF!</definedName>
    <definedName name="BLPH70" hidden="1">#REF!</definedName>
    <definedName name="BLPH71" hidden="1">#REF!</definedName>
    <definedName name="BLPH72" hidden="1">#REF!</definedName>
    <definedName name="BLPH73" hidden="1">#REF!</definedName>
    <definedName name="BLPH74" hidden="1">#REF!</definedName>
    <definedName name="BLPH75" hidden="1">#REF!</definedName>
    <definedName name="BLPH76" hidden="1">#REF!</definedName>
    <definedName name="BLPH77" hidden="1">#REF!</definedName>
    <definedName name="BLPH78" hidden="1">#REF!</definedName>
    <definedName name="BLPH79" hidden="1">#REF!</definedName>
    <definedName name="BLPH80" hidden="1">#REF!</definedName>
    <definedName name="BLPH81" hidden="1">#REF!</definedName>
    <definedName name="BLPH82" hidden="1">#REF!</definedName>
    <definedName name="BLPH83" hidden="1">#REF!</definedName>
    <definedName name="BLPH84" hidden="1">#REF!</definedName>
    <definedName name="BLPH85" hidden="1">#REF!</definedName>
    <definedName name="BLPH86" hidden="1">#REF!</definedName>
    <definedName name="BLPH87" hidden="1">#REF!</definedName>
    <definedName name="BLPH88" hidden="1">#REF!</definedName>
    <definedName name="BLPH89" hidden="1">#REF!</definedName>
    <definedName name="BLPH90" hidden="1">#REF!</definedName>
    <definedName name="BLPH91" hidden="1">#REF!</definedName>
    <definedName name="BLPH92" hidden="1">#REF!</definedName>
    <definedName name="BLPH93" hidden="1">#REF!</definedName>
    <definedName name="BLPH94" hidden="1">#REF!</definedName>
    <definedName name="BLPH95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carlos" localSheetId="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carlos" localSheetId="3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carlos" localSheetId="4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carlos" localSheetId="5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carlos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cdascsd" localSheetId="1" hidden="1">{"sum op",#N/A,FALSE,"Sum OP";"op hy",#N/A,FALSE,"Sum OP (HY)";"sum tp",#N/A,FALSE,"Sum TP"}</definedName>
    <definedName name="cdascsd" localSheetId="3" hidden="1">{"sum op",#N/A,FALSE,"Sum OP";"op hy",#N/A,FALSE,"Sum OP (HY)";"sum tp",#N/A,FALSE,"Sum TP"}</definedName>
    <definedName name="cdascsd" localSheetId="4" hidden="1">{"sum op",#N/A,FALSE,"Sum OP";"op hy",#N/A,FALSE,"Sum OP (HY)";"sum tp",#N/A,FALSE,"Sum TP"}</definedName>
    <definedName name="cdascsd" localSheetId="5" hidden="1">{"sum op",#N/A,FALSE,"Sum OP";"op hy",#N/A,FALSE,"Sum OP (HY)";"sum tp",#N/A,FALSE,"Sum TP"}</definedName>
    <definedName name="cdascsd" hidden="1">{"sum op",#N/A,FALSE,"Sum OP";"op hy",#N/A,FALSE,"Sum OP (HY)";"sum tp",#N/A,FALSE,"Sum TP"}</definedName>
    <definedName name="chart" localSheetId="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chart" localSheetId="3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chart" localSheetId="4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chart" localSheetId="5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chart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Code" hidden="1">#REF!</definedName>
    <definedName name="CR" localSheetId="1" hidden="1">{#N/A,#N/A,FALSE,"지침";#N/A,#N/A,FALSE,"환경분석";#N/A,#N/A,FALSE,"Sheet16"}</definedName>
    <definedName name="CR" localSheetId="3" hidden="1">{#N/A,#N/A,FALSE,"지침";#N/A,#N/A,FALSE,"환경분석";#N/A,#N/A,FALSE,"Sheet16"}</definedName>
    <definedName name="CR" localSheetId="4" hidden="1">{#N/A,#N/A,FALSE,"지침";#N/A,#N/A,FALSE,"환경분석";#N/A,#N/A,FALSE,"Sheet16"}</definedName>
    <definedName name="CR" localSheetId="5" hidden="1">{#N/A,#N/A,FALSE,"지침";#N/A,#N/A,FALSE,"환경분석";#N/A,#N/A,FALSE,"Sheet16"}</definedName>
    <definedName name="CR" hidden="1">{#N/A,#N/A,FALSE,"지침";#N/A,#N/A,FALSE,"환경분석";#N/A,#N/A,FALSE,"Sheet16"}</definedName>
    <definedName name="csafds" localSheetId="1" hidden="1">{"sum op",#N/A,FALSE,"Sum OP";"op hy",#N/A,FALSE,"Sum OP (HY)";"sum tp",#N/A,FALSE,"Sum TP"}</definedName>
    <definedName name="csafds" localSheetId="3" hidden="1">{"sum op",#N/A,FALSE,"Sum OP";"op hy",#N/A,FALSE,"Sum OP (HY)";"sum tp",#N/A,FALSE,"Sum TP"}</definedName>
    <definedName name="csafds" localSheetId="4" hidden="1">{"sum op",#N/A,FALSE,"Sum OP";"op hy",#N/A,FALSE,"Sum OP (HY)";"sum tp",#N/A,FALSE,"Sum TP"}</definedName>
    <definedName name="csafds" localSheetId="5" hidden="1">{"sum op",#N/A,FALSE,"Sum OP";"op hy",#N/A,FALSE,"Sum OP (HY)";"sum tp",#N/A,FALSE,"Sum TP"}</definedName>
    <definedName name="csafds" hidden="1">{"sum op",#N/A,FALSE,"Sum OP";"op hy",#N/A,FALSE,"Sum OP (HY)";"sum tp",#N/A,FALSE,"Sum TP"}</definedName>
    <definedName name="d" localSheetId="1" hidden="1">{#N/A,#N/A,FALSE,"지침";#N/A,#N/A,FALSE,"환경분석";#N/A,#N/A,FALSE,"Sheet16"}</definedName>
    <definedName name="d" localSheetId="3" hidden="1">{#N/A,#N/A,FALSE,"지침";#N/A,#N/A,FALSE,"환경분석";#N/A,#N/A,FALSE,"Sheet16"}</definedName>
    <definedName name="d" localSheetId="4" hidden="1">{#N/A,#N/A,FALSE,"지침";#N/A,#N/A,FALSE,"환경분석";#N/A,#N/A,FALSE,"Sheet16"}</definedName>
    <definedName name="d" localSheetId="5" hidden="1">{#N/A,#N/A,FALSE,"지침";#N/A,#N/A,FALSE,"환경분석";#N/A,#N/A,FALSE,"Sheet16"}</definedName>
    <definedName name="d" hidden="1">{#N/A,#N/A,FALSE,"지침";#N/A,#N/A,FALSE,"환경분석";#N/A,#N/A,FALSE,"Sheet16"}</definedName>
    <definedName name="data1" hidden="1">#REF!</definedName>
    <definedName name="data2" hidden="1">#REF!</definedName>
    <definedName name="data3" hidden="1">#REF!</definedName>
    <definedName name="DateRangePrice" hidden="1">OFFSET(#REF!,5,0,COUNTA(#REF!)-COUNTA(#REF!),1)</definedName>
    <definedName name="DateRangePriceMain" hidden="1">#REF!</definedName>
    <definedName name="dd" localSheetId="1" hidden="1">{#N/A,#N/A,FALSE,"지침";#N/A,#N/A,FALSE,"환경분석";#N/A,#N/A,FALSE,"Sheet16"}</definedName>
    <definedName name="dd" localSheetId="3" hidden="1">{#N/A,#N/A,FALSE,"지침";#N/A,#N/A,FALSE,"환경분석";#N/A,#N/A,FALSE,"Sheet16"}</definedName>
    <definedName name="dd" localSheetId="4" hidden="1">{#N/A,#N/A,FALSE,"지침";#N/A,#N/A,FALSE,"환경분석";#N/A,#N/A,FALSE,"Sheet16"}</definedName>
    <definedName name="dd" localSheetId="5" hidden="1">{#N/A,#N/A,FALSE,"지침";#N/A,#N/A,FALSE,"환경분석";#N/A,#N/A,FALSE,"Sheet16"}</definedName>
    <definedName name="dd" hidden="1">{#N/A,#N/A,FALSE,"지침";#N/A,#N/A,FALSE,"환경분석";#N/A,#N/A,FALSE,"Sheet16"}</definedName>
    <definedName name="ddd" localSheetId="1" hidden="1">{#N/A,#N/A,FALSE,"지침";#N/A,#N/A,FALSE,"환경분석";#N/A,#N/A,FALSE,"Sheet16"}</definedName>
    <definedName name="ddd" localSheetId="3" hidden="1">{#N/A,#N/A,FALSE,"지침";#N/A,#N/A,FALSE,"환경분석";#N/A,#N/A,FALSE,"Sheet16"}</definedName>
    <definedName name="ddd" localSheetId="4" hidden="1">{#N/A,#N/A,FALSE,"지침";#N/A,#N/A,FALSE,"환경분석";#N/A,#N/A,FALSE,"Sheet16"}</definedName>
    <definedName name="ddd" localSheetId="5" hidden="1">{#N/A,#N/A,FALSE,"지침";#N/A,#N/A,FALSE,"환경분석";#N/A,#N/A,FALSE,"Sheet16"}</definedName>
    <definedName name="ddd" hidden="1">{#N/A,#N/A,FALSE,"지침";#N/A,#N/A,FALSE,"환경분석";#N/A,#N/A,FALSE,"Sheet16"}</definedName>
    <definedName name="dddd" localSheetId="1" hidden="1">{#N/A,#N/A,FALSE,"지침";#N/A,#N/A,FALSE,"환경분석";#N/A,#N/A,FALSE,"Sheet16"}</definedName>
    <definedName name="dddd" localSheetId="3" hidden="1">{#N/A,#N/A,FALSE,"지침";#N/A,#N/A,FALSE,"환경분석";#N/A,#N/A,FALSE,"Sheet16"}</definedName>
    <definedName name="dddd" localSheetId="4" hidden="1">{#N/A,#N/A,FALSE,"지침";#N/A,#N/A,FALSE,"환경분석";#N/A,#N/A,FALSE,"Sheet16"}</definedName>
    <definedName name="dddd" localSheetId="5" hidden="1">{#N/A,#N/A,FALSE,"지침";#N/A,#N/A,FALSE,"환경분석";#N/A,#N/A,FALSE,"Sheet16"}</definedName>
    <definedName name="dddd" hidden="1">{#N/A,#N/A,FALSE,"지침";#N/A,#N/A,FALSE,"환경분석";#N/A,#N/A,FALSE,"Sheet16"}</definedName>
    <definedName name="dec" localSheetId="1" hidden="1">{#N/A,#N/A,FALSE,"지침";#N/A,#N/A,FALSE,"환경분석";#N/A,#N/A,FALSE,"Sheet16"}</definedName>
    <definedName name="dec" localSheetId="3" hidden="1">{#N/A,#N/A,FALSE,"지침";#N/A,#N/A,FALSE,"환경분석";#N/A,#N/A,FALSE,"Sheet16"}</definedName>
    <definedName name="dec" localSheetId="4" hidden="1">{#N/A,#N/A,FALSE,"지침";#N/A,#N/A,FALSE,"환경분석";#N/A,#N/A,FALSE,"Sheet16"}</definedName>
    <definedName name="dec" localSheetId="5" hidden="1">{#N/A,#N/A,FALSE,"지침";#N/A,#N/A,FALSE,"환경분석";#N/A,#N/A,FALSE,"Sheet16"}</definedName>
    <definedName name="dec" hidden="1">{#N/A,#N/A,FALSE,"지침";#N/A,#N/A,FALSE,"환경분석";#N/A,#N/A,FALSE,"Sheet16"}</definedName>
    <definedName name="DEEP" localSheetId="1" hidden="1">{#N/A,#N/A,FALSE,"지침";#N/A,#N/A,FALSE,"환경분석";#N/A,#N/A,FALSE,"Sheet16"}</definedName>
    <definedName name="DEEP" localSheetId="3" hidden="1">{#N/A,#N/A,FALSE,"지침";#N/A,#N/A,FALSE,"환경분석";#N/A,#N/A,FALSE,"Sheet16"}</definedName>
    <definedName name="DEEP" localSheetId="4" hidden="1">{#N/A,#N/A,FALSE,"지침";#N/A,#N/A,FALSE,"환경분석";#N/A,#N/A,FALSE,"Sheet16"}</definedName>
    <definedName name="DEEP" localSheetId="5" hidden="1">{#N/A,#N/A,FALSE,"지침";#N/A,#N/A,FALSE,"환경분석";#N/A,#N/A,FALSE,"Sheet16"}</definedName>
    <definedName name="DEEP" hidden="1">{#N/A,#N/A,FALSE,"지침";#N/A,#N/A,FALSE,"환경분석";#N/A,#N/A,FALSE,"Sheet16"}</definedName>
    <definedName name="dewd" localSheetId="1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dewd" localSheetId="3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dewd" localSheetId="4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dewd" localSheetId="5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dewd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dfsf" hidden="1">#REF!</definedName>
    <definedName name="dg" localSheetId="1" hidden="1">{"Area1",#N/A,FALSE,"OREWACC";"Area2",#N/A,FALSE,"OREWACC"}</definedName>
    <definedName name="dg" localSheetId="3" hidden="1">{"Area1",#N/A,FALSE,"OREWACC";"Area2",#N/A,FALSE,"OREWACC"}</definedName>
    <definedName name="dg" localSheetId="4" hidden="1">{"Area1",#N/A,FALSE,"OREWACC";"Area2",#N/A,FALSE,"OREWACC"}</definedName>
    <definedName name="dg" localSheetId="5" hidden="1">{"Area1",#N/A,FALSE,"OREWACC";"Area2",#N/A,FALSE,"OREWACC"}</definedName>
    <definedName name="dg" hidden="1">{"Area1",#N/A,FALSE,"OREWACC";"Area2",#N/A,FALSE,"OREWACC"}</definedName>
    <definedName name="Discount" hidden="1">#REF!</definedName>
    <definedName name="display_area_2" hidden="1">#REF!</definedName>
    <definedName name="dldlkkddks" localSheetId="1" hidden="1">{#N/A,#N/A,FALSE,"지침";#N/A,#N/A,FALSE,"환경분석";#N/A,#N/A,FALSE,"Sheet16"}</definedName>
    <definedName name="dldlkkddks" localSheetId="3" hidden="1">{#N/A,#N/A,FALSE,"지침";#N/A,#N/A,FALSE,"환경분석";#N/A,#N/A,FALSE,"Sheet16"}</definedName>
    <definedName name="dldlkkddks" localSheetId="4" hidden="1">{#N/A,#N/A,FALSE,"지침";#N/A,#N/A,FALSE,"환경분석";#N/A,#N/A,FALSE,"Sheet16"}</definedName>
    <definedName name="dldlkkddks" localSheetId="5" hidden="1">{#N/A,#N/A,FALSE,"지침";#N/A,#N/A,FALSE,"환경분석";#N/A,#N/A,FALSE,"Sheet16"}</definedName>
    <definedName name="dldlkkddks" hidden="1">{#N/A,#N/A,FALSE,"지침";#N/A,#N/A,FALSE,"환경분석";#N/A,#N/A,FALSE,"Sheet16"}</definedName>
    <definedName name="dqdqd" localSheetId="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dqdqd" localSheetId="3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dqdqd" localSheetId="4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dqdqd" localSheetId="5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dqdqd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ds" localSheetId="1" hidden="1">{#N/A,#N/A,FALSE,"Chi tiÆt"}</definedName>
    <definedName name="ds" localSheetId="3" hidden="1">{#N/A,#N/A,FALSE,"Chi tiÆt"}</definedName>
    <definedName name="ds" localSheetId="4" hidden="1">{#N/A,#N/A,FALSE,"Chi tiÆt"}</definedName>
    <definedName name="ds" localSheetId="5" hidden="1">{#N/A,#N/A,FALSE,"Chi tiÆt"}</definedName>
    <definedName name="ds" hidden="1">{#N/A,#N/A,FALSE,"Chi tiÆt"}</definedName>
    <definedName name="dsa" localSheetId="1" hidden="1">{"ALL",#N/A,FALSE,"Summary";"ALL",#N/A,FALSE,"Vs LE";"all",#N/A,FALSE,"Targets";"all",#N/A,FALSE,"FLASH";"print calc",#N/A,FALSE,"Calc";"all",#N/A,FALSE,"Corporate costs";"all",#N/A,FALSE,"Corporate costs (2)"}</definedName>
    <definedName name="dsa" localSheetId="3" hidden="1">{"ALL",#N/A,FALSE,"Summary";"ALL",#N/A,FALSE,"Vs LE";"all",#N/A,FALSE,"Targets";"all",#N/A,FALSE,"FLASH";"print calc",#N/A,FALSE,"Calc";"all",#N/A,FALSE,"Corporate costs";"all",#N/A,FALSE,"Corporate costs (2)"}</definedName>
    <definedName name="dsa" localSheetId="4" hidden="1">{"ALL",#N/A,FALSE,"Summary";"ALL",#N/A,FALSE,"Vs LE";"all",#N/A,FALSE,"Targets";"all",#N/A,FALSE,"FLASH";"print calc",#N/A,FALSE,"Calc";"all",#N/A,FALSE,"Corporate costs";"all",#N/A,FALSE,"Corporate costs (2)"}</definedName>
    <definedName name="dsa" localSheetId="5" hidden="1">{"ALL",#N/A,FALSE,"Summary";"ALL",#N/A,FALSE,"Vs LE";"all",#N/A,FALSE,"Targets";"all",#N/A,FALSE,"FLASH";"print calc",#N/A,FALSE,"Calc";"all",#N/A,FALSE,"Corporate costs";"all",#N/A,FALSE,"Corporate costs (2)"}</definedName>
    <definedName name="dsa" hidden="1">{"ALL",#N/A,FALSE,"Summary";"ALL",#N/A,FALSE,"Vs LE";"all",#N/A,FALSE,"Targets";"all",#N/A,FALSE,"FLASH";"print calc",#N/A,FALSE,"Calc";"all",#N/A,FALSE,"Corporate costs";"all",#N/A,FALSE,"Corporate costs (2)"}</definedName>
    <definedName name="dsdd" localSheetId="1" hidden="1">{"fygrow",#N/A,TRUE,"Full Year";"FYalloc",#N/A,TRUE,"Full Year";"hygrow",#N/A,TRUE,"HY Org grow";"hyalloc",#N/A,TRUE,"Half Year"}</definedName>
    <definedName name="dsdd" localSheetId="3" hidden="1">{"fygrow",#N/A,TRUE,"Full Year";"FYalloc",#N/A,TRUE,"Full Year";"hygrow",#N/A,TRUE,"HY Org grow";"hyalloc",#N/A,TRUE,"Half Year"}</definedName>
    <definedName name="dsdd" localSheetId="4" hidden="1">{"fygrow",#N/A,TRUE,"Full Year";"FYalloc",#N/A,TRUE,"Full Year";"hygrow",#N/A,TRUE,"HY Org grow";"hyalloc",#N/A,TRUE,"Half Year"}</definedName>
    <definedName name="dsdd" localSheetId="5" hidden="1">{"fygrow",#N/A,TRUE,"Full Year";"FYalloc",#N/A,TRUE,"Full Year";"hygrow",#N/A,TRUE,"HY Org grow";"hyalloc",#N/A,TRUE,"Half Year"}</definedName>
    <definedName name="dsdd" hidden="1">{"fygrow",#N/A,TRUE,"Full Year";"FYalloc",#N/A,TRUE,"Full Year";"hygrow",#N/A,TRUE,"HY Org grow";"hyalloc",#N/A,TRUE,"Half Year"}</definedName>
    <definedName name="DSDL" localSheetId="1" hidden="1">{"'Sheet1'!$L$16"}</definedName>
    <definedName name="DSDL" localSheetId="3" hidden="1">{"'Sheet1'!$L$16"}</definedName>
    <definedName name="DSDL" localSheetId="4" hidden="1">{"'Sheet1'!$L$16"}</definedName>
    <definedName name="DSDL" localSheetId="5" hidden="1">{"'Sheet1'!$L$16"}</definedName>
    <definedName name="DSDL" hidden="1">{"'Sheet1'!$L$16"}</definedName>
    <definedName name="dsf" localSheetId="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dsf" localSheetId="3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dsf" localSheetId="4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dsf" localSheetId="5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dsf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dw" localSheetId="1" hidden="1">{#N/A,#N/A,FALSE,"지침";#N/A,#N/A,FALSE,"환경분석";#N/A,#N/A,FALSE,"Sheet16"}</definedName>
    <definedName name="dw" localSheetId="3" hidden="1">{#N/A,#N/A,FALSE,"지침";#N/A,#N/A,FALSE,"환경분석";#N/A,#N/A,FALSE,"Sheet16"}</definedName>
    <definedName name="dw" localSheetId="4" hidden="1">{#N/A,#N/A,FALSE,"지침";#N/A,#N/A,FALSE,"환경분석";#N/A,#N/A,FALSE,"Sheet16"}</definedName>
    <definedName name="dw" localSheetId="5" hidden="1">{#N/A,#N/A,FALSE,"지침";#N/A,#N/A,FALSE,"환경분석";#N/A,#N/A,FALSE,"Sheet16"}</definedName>
    <definedName name="dw" hidden="1">{#N/A,#N/A,FALSE,"지침";#N/A,#N/A,FALSE,"환경분석";#N/A,#N/A,FALSE,"Sheet16"}</definedName>
    <definedName name="dwq" localSheetId="1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dwq" localSheetId="3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dwq" localSheetId="4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dwq" localSheetId="5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dwq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dwqd" localSheetId="1" hidden="1">{"all",#N/A,FALSE,"Corporate costs";"all",#N/A,FALSE,"Corporate costs (2)"}</definedName>
    <definedName name="dwqd" localSheetId="3" hidden="1">{"all",#N/A,FALSE,"Corporate costs";"all",#N/A,FALSE,"Corporate costs (2)"}</definedName>
    <definedName name="dwqd" localSheetId="4" hidden="1">{"all",#N/A,FALSE,"Corporate costs";"all",#N/A,FALSE,"Corporate costs (2)"}</definedName>
    <definedName name="dwqd" localSheetId="5" hidden="1">{"all",#N/A,FALSE,"Corporate costs";"all",#N/A,FALSE,"Corporate costs (2)"}</definedName>
    <definedName name="dwqd" hidden="1">{"all",#N/A,FALSE,"Corporate costs";"all",#N/A,FALSE,"Corporate costs (2)"}</definedName>
    <definedName name="e" localSheetId="1" hidden="1">{"all",#N/A,FALSE,"Corporate costs";"all",#N/A,FALSE,"Corporate costs (2)"}</definedName>
    <definedName name="e" localSheetId="3" hidden="1">{"all",#N/A,FALSE,"Corporate costs";"all",#N/A,FALSE,"Corporate costs (2)"}</definedName>
    <definedName name="e" localSheetId="4" hidden="1">{"all",#N/A,FALSE,"Corporate costs";"all",#N/A,FALSE,"Corporate costs (2)"}</definedName>
    <definedName name="e" localSheetId="5" hidden="1">{"all",#N/A,FALSE,"Corporate costs";"all",#N/A,FALSE,"Corporate costs (2)"}</definedName>
    <definedName name="e" hidden="1">{"all",#N/A,FALSE,"Corporate costs";"all",#N/A,FALSE,"Corporate costs (2)"}</definedName>
    <definedName name="ecd" localSheetId="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ecd" localSheetId="3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ecd" localSheetId="4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ecd" localSheetId="5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ecd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ee" localSheetId="1" hidden="1">{#N/A,#N/A,FALSE,"지침";#N/A,#N/A,FALSE,"환경분석";#N/A,#N/A,FALSE,"Sheet16"}</definedName>
    <definedName name="ee" localSheetId="3" hidden="1">{#N/A,#N/A,FALSE,"지침";#N/A,#N/A,FALSE,"환경분석";#N/A,#N/A,FALSE,"Sheet16"}</definedName>
    <definedName name="ee" localSheetId="4" hidden="1">{#N/A,#N/A,FALSE,"지침";#N/A,#N/A,FALSE,"환경분석";#N/A,#N/A,FALSE,"Sheet16"}</definedName>
    <definedName name="ee" localSheetId="5" hidden="1">{#N/A,#N/A,FALSE,"지침";#N/A,#N/A,FALSE,"환경분석";#N/A,#N/A,FALSE,"Sheet16"}</definedName>
    <definedName name="ee" hidden="1">{#N/A,#N/A,FALSE,"지침";#N/A,#N/A,FALSE,"환경분석";#N/A,#N/A,FALSE,"Sheet16"}</definedName>
    <definedName name="eee" localSheetId="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eee" localSheetId="3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eee" localSheetId="4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eee" localSheetId="5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eee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eeee" localSheetId="1" hidden="1">{"all",#N/A,FALSE,"Corporate costs";"all",#N/A,FALSE,"Corporate costs (2)"}</definedName>
    <definedName name="eeee" localSheetId="3" hidden="1">{"all",#N/A,FALSE,"Corporate costs";"all",#N/A,FALSE,"Corporate costs (2)"}</definedName>
    <definedName name="eeee" localSheetId="4" hidden="1">{"all",#N/A,FALSE,"Corporate costs";"all",#N/A,FALSE,"Corporate costs (2)"}</definedName>
    <definedName name="eeee" localSheetId="5" hidden="1">{"all",#N/A,FALSE,"Corporate costs";"all",#N/A,FALSE,"Corporate costs (2)"}</definedName>
    <definedName name="eeee" hidden="1">{"all",#N/A,FALSE,"Corporate costs";"all",#N/A,FALSE,"Corporate costs (2)"}</definedName>
    <definedName name="erer" localSheetId="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erer" localSheetId="3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erer" localSheetId="4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erer" localSheetId="5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erer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ESPN" localSheetId="1" hidden="1">{"Pulp Production",#N/A,FALSE,"Pulp";"Pulp Earnings",#N/A,FALSE,"Pulp"}</definedName>
    <definedName name="ESPN" localSheetId="3" hidden="1">{"Pulp Production",#N/A,FALSE,"Pulp";"Pulp Earnings",#N/A,FALSE,"Pulp"}</definedName>
    <definedName name="ESPN" localSheetId="4" hidden="1">{"Pulp Production",#N/A,FALSE,"Pulp";"Pulp Earnings",#N/A,FALSE,"Pulp"}</definedName>
    <definedName name="ESPN" localSheetId="5" hidden="1">{"Pulp Production",#N/A,FALSE,"Pulp";"Pulp Earnings",#N/A,FALSE,"Pulp"}</definedName>
    <definedName name="ESPN" hidden="1">{"Pulp Production",#N/A,FALSE,"Pulp";"Pulp Earnings",#N/A,FALSE,"Pulp"}</definedName>
    <definedName name="EUGENE" localSheetId="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EUGENE" localSheetId="3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EUGENE" localSheetId="4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EUGENE" localSheetId="5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EUGENE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F6A" localSheetId="1" hidden="1">{"'Sheet1'!$L$16"}</definedName>
    <definedName name="F6A" localSheetId="3" hidden="1">{"'Sheet1'!$L$16"}</definedName>
    <definedName name="F6A" localSheetId="4" hidden="1">{"'Sheet1'!$L$16"}</definedName>
    <definedName name="F6A" localSheetId="5" hidden="1">{"'Sheet1'!$L$16"}</definedName>
    <definedName name="F6A" hidden="1">{"'Sheet1'!$L$16"}</definedName>
    <definedName name="F6B" localSheetId="1" hidden="1">{"'Sheet1'!$L$16"}</definedName>
    <definedName name="F6B" localSheetId="3" hidden="1">{"'Sheet1'!$L$16"}</definedName>
    <definedName name="F6B" localSheetId="4" hidden="1">{"'Sheet1'!$L$16"}</definedName>
    <definedName name="F6B" localSheetId="5" hidden="1">{"'Sheet1'!$L$16"}</definedName>
    <definedName name="F6B" hidden="1">{"'Sheet1'!$L$16"}</definedName>
    <definedName name="fafga" localSheetId="1" hidden="1">{"all",#N/A,FALSE,"Corporate costs";"all",#N/A,FALSE,"Corporate costs (2)"}</definedName>
    <definedName name="fafga" localSheetId="3" hidden="1">{"all",#N/A,FALSE,"Corporate costs";"all",#N/A,FALSE,"Corporate costs (2)"}</definedName>
    <definedName name="fafga" localSheetId="4" hidden="1">{"all",#N/A,FALSE,"Corporate costs";"all",#N/A,FALSE,"Corporate costs (2)"}</definedName>
    <definedName name="fafga" localSheetId="5" hidden="1">{"all",#N/A,FALSE,"Corporate costs";"all",#N/A,FALSE,"Corporate costs (2)"}</definedName>
    <definedName name="fafga" hidden="1">{"all",#N/A,FALSE,"Corporate costs";"all",#N/A,FALSE,"Corporate costs (2)"}</definedName>
    <definedName name="FCode" hidden="1">#REF!</definedName>
    <definedName name="fdgdg" localSheetId="1" hidden="1">{"all",#N/A,FALSE,"Corporate costs";"all",#N/A,FALSE,"Corporate costs (2)"}</definedName>
    <definedName name="fdgdg" localSheetId="3" hidden="1">{"all",#N/A,FALSE,"Corporate costs";"all",#N/A,FALSE,"Corporate costs (2)"}</definedName>
    <definedName name="fdgdg" localSheetId="4" hidden="1">{"all",#N/A,FALSE,"Corporate costs";"all",#N/A,FALSE,"Corporate costs (2)"}</definedName>
    <definedName name="fdgdg" localSheetId="5" hidden="1">{"all",#N/A,FALSE,"Corporate costs";"all",#N/A,FALSE,"Corporate costs (2)"}</definedName>
    <definedName name="fdgdg" hidden="1">{"all",#N/A,FALSE,"Corporate costs";"all",#N/A,FALSE,"Corporate costs (2)"}</definedName>
    <definedName name="fdgfdd" localSheetId="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fdgfdd" localSheetId="3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fdgfdd" localSheetId="4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fdgfdd" localSheetId="5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fdgfdd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FDS" localSheetId="1" hidden="1">{#N/A,#N/A,FALSE,"지침";#N/A,#N/A,FALSE,"환경분석";#N/A,#N/A,FALSE,"Sheet16"}</definedName>
    <definedName name="FDS" localSheetId="3" hidden="1">{#N/A,#N/A,FALSE,"지침";#N/A,#N/A,FALSE,"환경분석";#N/A,#N/A,FALSE,"Sheet16"}</definedName>
    <definedName name="FDS" localSheetId="4" hidden="1">{#N/A,#N/A,FALSE,"지침";#N/A,#N/A,FALSE,"환경분석";#N/A,#N/A,FALSE,"Sheet16"}</definedName>
    <definedName name="FDS" localSheetId="5" hidden="1">{#N/A,#N/A,FALSE,"지침";#N/A,#N/A,FALSE,"환경분석";#N/A,#N/A,FALSE,"Sheet16"}</definedName>
    <definedName name="FDS" hidden="1">{#N/A,#N/A,FALSE,"지침";#N/A,#N/A,FALSE,"환경분석";#N/A,#N/A,FALSE,"Sheet16"}</definedName>
    <definedName name="fdsfsdfsdfsdfsdf" localSheetId="1" hidden="1">{#N/A,#N/A,FALSE,"지침";#N/A,#N/A,FALSE,"환경분석";#N/A,#N/A,FALSE,"Sheet16"}</definedName>
    <definedName name="fdsfsdfsdfsdfsdf" localSheetId="3" hidden="1">{#N/A,#N/A,FALSE,"지침";#N/A,#N/A,FALSE,"환경분석";#N/A,#N/A,FALSE,"Sheet16"}</definedName>
    <definedName name="fdsfsdfsdfsdfsdf" localSheetId="4" hidden="1">{#N/A,#N/A,FALSE,"지침";#N/A,#N/A,FALSE,"환경분석";#N/A,#N/A,FALSE,"Sheet16"}</definedName>
    <definedName name="fdsfsdfsdfsdfsdf" localSheetId="5" hidden="1">{#N/A,#N/A,FALSE,"지침";#N/A,#N/A,FALSE,"환경분석";#N/A,#N/A,FALSE,"Sheet16"}</definedName>
    <definedName name="fdsfsdfsdfsdfsdf" hidden="1">{#N/A,#N/A,FALSE,"지침";#N/A,#N/A,FALSE,"환경분석";#N/A,#N/A,FALSE,"Sheet16"}</definedName>
    <definedName name="fdsv" localSheetId="1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fdsv" localSheetId="3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fdsv" localSheetId="4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fdsv" localSheetId="5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fdsv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fewfwdfc" localSheetId="1" hidden="1">{#N/A,#N/A,FALSE,"FY99";#N/A,#N/A,FALSE,"FY00"}</definedName>
    <definedName name="fewfwdfc" localSheetId="3" hidden="1">{#N/A,#N/A,FALSE,"FY99";#N/A,#N/A,FALSE,"FY00"}</definedName>
    <definedName name="fewfwdfc" localSheetId="4" hidden="1">{#N/A,#N/A,FALSE,"FY99";#N/A,#N/A,FALSE,"FY00"}</definedName>
    <definedName name="fewfwdfc" localSheetId="5" hidden="1">{#N/A,#N/A,FALSE,"FY99";#N/A,#N/A,FALSE,"FY00"}</definedName>
    <definedName name="fewfwdfc" hidden="1">{#N/A,#N/A,FALSE,"FY99";#N/A,#N/A,FALSE,"FY00"}</definedName>
    <definedName name="ffg" localSheetId="1" hidden="1">{"all",#N/A,FALSE,"Vs LE";"ALL",#N/A,FALSE,"Summary"}</definedName>
    <definedName name="ffg" localSheetId="3" hidden="1">{"all",#N/A,FALSE,"Vs LE";"ALL",#N/A,FALSE,"Summary"}</definedName>
    <definedName name="ffg" localSheetId="4" hidden="1">{"all",#N/A,FALSE,"Vs LE";"ALL",#N/A,FALSE,"Summary"}</definedName>
    <definedName name="ffg" localSheetId="5" hidden="1">{"all",#N/A,FALSE,"Vs LE";"ALL",#N/A,FALSE,"Summary"}</definedName>
    <definedName name="ffg" hidden="1">{"all",#N/A,FALSE,"Vs LE";"ALL",#N/A,FALSE,"Summary"}</definedName>
    <definedName name="fgfdg" localSheetId="1" hidden="1">{"all",#N/A,FALSE,"FLASH"}</definedName>
    <definedName name="fgfdg" localSheetId="3" hidden="1">{"all",#N/A,FALSE,"FLASH"}</definedName>
    <definedName name="fgfdg" localSheetId="4" hidden="1">{"all",#N/A,FALSE,"FLASH"}</definedName>
    <definedName name="fgfdg" localSheetId="5" hidden="1">{"all",#N/A,FALSE,"FLASH"}</definedName>
    <definedName name="fgfdg" hidden="1">{"all",#N/A,FALSE,"FLASH"}</definedName>
    <definedName name="fgkfg" localSheetId="1" hidden="1">{"summary",#N/A,FALSE,"Sum";"sum op",#N/A,FALSE,"Sum OP";"op hy",#N/A,FALSE,"Sum OP (HY)";"sum tp",#N/A,FALSE,"Sum TP";"udv",#N/A,FALSE,"UDV";"tpc",#N/A,FALSE,"Pillsbury";"guinness",#N/A,FALSE,"Guinness";"bk",#N/A,FALSE,"BK";"fx",#N/A,FALSE,"FX";"assocs",#N/A,FALSE,"Assoc1";"assocs",#N/A,FALSE,"Assoc2"}</definedName>
    <definedName name="fgkfg" localSheetId="3" hidden="1">{"summary",#N/A,FALSE,"Sum";"sum op",#N/A,FALSE,"Sum OP";"op hy",#N/A,FALSE,"Sum OP (HY)";"sum tp",#N/A,FALSE,"Sum TP";"udv",#N/A,FALSE,"UDV";"tpc",#N/A,FALSE,"Pillsbury";"guinness",#N/A,FALSE,"Guinness";"bk",#N/A,FALSE,"BK";"fx",#N/A,FALSE,"FX";"assocs",#N/A,FALSE,"Assoc1";"assocs",#N/A,FALSE,"Assoc2"}</definedName>
    <definedName name="fgkfg" localSheetId="4" hidden="1">{"summary",#N/A,FALSE,"Sum";"sum op",#N/A,FALSE,"Sum OP";"op hy",#N/A,FALSE,"Sum OP (HY)";"sum tp",#N/A,FALSE,"Sum TP";"udv",#N/A,FALSE,"UDV";"tpc",#N/A,FALSE,"Pillsbury";"guinness",#N/A,FALSE,"Guinness";"bk",#N/A,FALSE,"BK";"fx",#N/A,FALSE,"FX";"assocs",#N/A,FALSE,"Assoc1";"assocs",#N/A,FALSE,"Assoc2"}</definedName>
    <definedName name="fgkfg" localSheetId="5" hidden="1">{"summary",#N/A,FALSE,"Sum";"sum op",#N/A,FALSE,"Sum OP";"op hy",#N/A,FALSE,"Sum OP (HY)";"sum tp",#N/A,FALSE,"Sum TP";"udv",#N/A,FALSE,"UDV";"tpc",#N/A,FALSE,"Pillsbury";"guinness",#N/A,FALSE,"Guinness";"bk",#N/A,FALSE,"BK";"fx",#N/A,FALSE,"FX";"assocs",#N/A,FALSE,"Assoc1";"assocs",#N/A,FALSE,"Assoc2"}</definedName>
    <definedName name="fgkfg" hidden="1">{"summary",#N/A,FALSE,"Sum";"sum op",#N/A,FALSE,"Sum OP";"op hy",#N/A,FALSE,"Sum OP (HY)";"sum tp",#N/A,FALSE,"Sum TP";"udv",#N/A,FALSE,"UDV";"tpc",#N/A,FALSE,"Pillsbury";"guinness",#N/A,FALSE,"Guinness";"bk",#N/A,FALSE,"BK";"fx",#N/A,FALSE,"FX";"assocs",#N/A,FALSE,"Assoc1";"assocs",#N/A,FALSE,"Assoc2"}</definedName>
    <definedName name="fgxcf" localSheetId="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fgxcf" localSheetId="3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fgxcf" localSheetId="4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fgxcf" localSheetId="5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fgxcf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fhkhkfg" localSheetId="1" hidden="1">{"ALL",#N/A,FALSE,"Summary";"ALL",#N/A,FALSE,"Vs LE";"all",#N/A,FALSE,"Targets";"all",#N/A,FALSE,"FLASH";"print calc",#N/A,FALSE,"Calc";"all",#N/A,FALSE,"Corporate costs";"all",#N/A,FALSE,"Corporate costs (2)"}</definedName>
    <definedName name="fhkhkfg" localSheetId="3" hidden="1">{"ALL",#N/A,FALSE,"Summary";"ALL",#N/A,FALSE,"Vs LE";"all",#N/A,FALSE,"Targets";"all",#N/A,FALSE,"FLASH";"print calc",#N/A,FALSE,"Calc";"all",#N/A,FALSE,"Corporate costs";"all",#N/A,FALSE,"Corporate costs (2)"}</definedName>
    <definedName name="fhkhkfg" localSheetId="4" hidden="1">{"ALL",#N/A,FALSE,"Summary";"ALL",#N/A,FALSE,"Vs LE";"all",#N/A,FALSE,"Targets";"all",#N/A,FALSE,"FLASH";"print calc",#N/A,FALSE,"Calc";"all",#N/A,FALSE,"Corporate costs";"all",#N/A,FALSE,"Corporate costs (2)"}</definedName>
    <definedName name="fhkhkfg" localSheetId="5" hidden="1">{"ALL",#N/A,FALSE,"Summary";"ALL",#N/A,FALSE,"Vs LE";"all",#N/A,FALSE,"Targets";"all",#N/A,FALSE,"FLASH";"print calc",#N/A,FALSE,"Calc";"all",#N/A,FALSE,"Corporate costs";"all",#N/A,FALSE,"Corporate costs (2)"}</definedName>
    <definedName name="fhkhkfg" hidden="1">{"ALL",#N/A,FALSE,"Summary";"ALL",#N/A,FALSE,"Vs LE";"all",#N/A,FALSE,"Targets";"all",#N/A,FALSE,"FLASH";"print calc",#N/A,FALSE,"Calc";"all",#N/A,FALSE,"Corporate costs";"all",#N/A,FALSE,"Corporate costs (2)"}</definedName>
    <definedName name="Financial_120300" localSheetId="1" hidden="1">{#N/A,#N/A,FALSE,"지침";#N/A,#N/A,FALSE,"환경분석";#N/A,#N/A,FALSE,"Sheet16"}</definedName>
    <definedName name="Financial_120300" localSheetId="3" hidden="1">{#N/A,#N/A,FALSE,"지침";#N/A,#N/A,FALSE,"환경분석";#N/A,#N/A,FALSE,"Sheet16"}</definedName>
    <definedName name="Financial_120300" localSheetId="4" hidden="1">{#N/A,#N/A,FALSE,"지침";#N/A,#N/A,FALSE,"환경분석";#N/A,#N/A,FALSE,"Sheet16"}</definedName>
    <definedName name="Financial_120300" localSheetId="5" hidden="1">{#N/A,#N/A,FALSE,"지침";#N/A,#N/A,FALSE,"환경분석";#N/A,#N/A,FALSE,"Sheet16"}</definedName>
    <definedName name="Financial_120300" hidden="1">{#N/A,#N/A,FALSE,"지침";#N/A,#N/A,FALSE,"환경분석";#N/A,#N/A,FALSE,"Sheet16"}</definedName>
    <definedName name="five" localSheetId="1" hidden="1">{"Landscape Detail CF",#N/A,FALSE,"Cash Flow for the 3 m-e 8.31";"Portrait Detail CF",#N/A,FALSE,"Cash Flow for the 3 m-e 8.31"}</definedName>
    <definedName name="five" localSheetId="3" hidden="1">{"Landscape Detail CF",#N/A,FALSE,"Cash Flow for the 3 m-e 8.31";"Portrait Detail CF",#N/A,FALSE,"Cash Flow for the 3 m-e 8.31"}</definedName>
    <definedName name="five" localSheetId="4" hidden="1">{"Landscape Detail CF",#N/A,FALSE,"Cash Flow for the 3 m-e 8.31";"Portrait Detail CF",#N/A,FALSE,"Cash Flow for the 3 m-e 8.31"}</definedName>
    <definedName name="five" localSheetId="5" hidden="1">{"Landscape Detail CF",#N/A,FALSE,"Cash Flow for the 3 m-e 8.31";"Portrait Detail CF",#N/A,FALSE,"Cash Flow for the 3 m-e 8.31"}</definedName>
    <definedName name="five" hidden="1">{"Landscape Detail CF",#N/A,FALSE,"Cash Flow for the 3 m-e 8.31";"Portrait Detail CF",#N/A,FALSE,"Cash Flow for the 3 m-e 8.31"}</definedName>
    <definedName name="fjhmkvf" localSheetId="1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fjhmkvf" localSheetId="3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fjhmkvf" localSheetId="4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fjhmkvf" localSheetId="5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fjhmkvf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fjk" localSheetId="1" hidden="1">{"all",#N/A,FALSE,"Vs LE";"ALL",#N/A,FALSE,"Summary"}</definedName>
    <definedName name="fjk" localSheetId="3" hidden="1">{"all",#N/A,FALSE,"Vs LE";"ALL",#N/A,FALSE,"Summary"}</definedName>
    <definedName name="fjk" localSheetId="4" hidden="1">{"all",#N/A,FALSE,"Vs LE";"ALL",#N/A,FALSE,"Summary"}</definedName>
    <definedName name="fjk" localSheetId="5" hidden="1">{"all",#N/A,FALSE,"Vs LE";"ALL",#N/A,FALSE,"Summary"}</definedName>
    <definedName name="fjk" hidden="1">{"all",#N/A,FALSE,"Vs LE";"ALL",#N/A,FALSE,"Summary"}</definedName>
    <definedName name="Football" localSheetId="1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Football" localSheetId="3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Football" localSheetId="4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Football" localSheetId="5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Football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FORMS" localSheetId="1" hidden="1">{#N/A,#N/A,FALSE,"지침";#N/A,#N/A,FALSE,"환경분석";#N/A,#N/A,FALSE,"Sheet16"}</definedName>
    <definedName name="FORMS" localSheetId="3" hidden="1">{#N/A,#N/A,FALSE,"지침";#N/A,#N/A,FALSE,"환경분석";#N/A,#N/A,FALSE,"Sheet16"}</definedName>
    <definedName name="FORMS" localSheetId="4" hidden="1">{#N/A,#N/A,FALSE,"지침";#N/A,#N/A,FALSE,"환경분석";#N/A,#N/A,FALSE,"Sheet16"}</definedName>
    <definedName name="FORMS" localSheetId="5" hidden="1">{#N/A,#N/A,FALSE,"지침";#N/A,#N/A,FALSE,"환경분석";#N/A,#N/A,FALSE,"Sheet16"}</definedName>
    <definedName name="FORMS" hidden="1">{#N/A,#N/A,FALSE,"지침";#N/A,#N/A,FALSE,"환경분석";#N/A,#N/A,FALSE,"Sheet16"}</definedName>
    <definedName name="four" localSheetId="1" hidden="1">{"Landscape Detail CF",#N/A,FALSE,"Cash Flow for the 3 m-e 8.31";"Portrait Detail CF",#N/A,FALSE,"Cash Flow for the 3 m-e 8.31"}</definedName>
    <definedName name="four" localSheetId="3" hidden="1">{"Landscape Detail CF",#N/A,FALSE,"Cash Flow for the 3 m-e 8.31";"Portrait Detail CF",#N/A,FALSE,"Cash Flow for the 3 m-e 8.31"}</definedName>
    <definedName name="four" localSheetId="4" hidden="1">{"Landscape Detail CF",#N/A,FALSE,"Cash Flow for the 3 m-e 8.31";"Portrait Detail CF",#N/A,FALSE,"Cash Flow for the 3 m-e 8.31"}</definedName>
    <definedName name="four" localSheetId="5" hidden="1">{"Landscape Detail CF",#N/A,FALSE,"Cash Flow for the 3 m-e 8.31";"Portrait Detail CF",#N/A,FALSE,"Cash Flow for the 3 m-e 8.31"}</definedName>
    <definedName name="four" hidden="1">{"Landscape Detail CF",#N/A,FALSE,"Cash Flow for the 3 m-e 8.31";"Portrait Detail CF",#N/A,FALSE,"Cash Flow for the 3 m-e 8.31"}</definedName>
    <definedName name="g" localSheetId="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g" localSheetId="3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g" localSheetId="4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g" localSheetId="5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g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gfdf" localSheetId="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gfdf" localSheetId="3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gfdf" localSheetId="4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gfdf" localSheetId="5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gfdf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gffdg" localSheetId="1" hidden="1">{"all",#N/A,FALSE,"FLASH"}</definedName>
    <definedName name="gffdg" localSheetId="3" hidden="1">{"all",#N/A,FALSE,"FLASH"}</definedName>
    <definedName name="gffdg" localSheetId="4" hidden="1">{"all",#N/A,FALSE,"FLASH"}</definedName>
    <definedName name="gffdg" localSheetId="5" hidden="1">{"all",#N/A,FALSE,"FLASH"}</definedName>
    <definedName name="gffdg" hidden="1">{"all",#N/A,FALSE,"FLASH"}</definedName>
    <definedName name="gg" localSheetId="1" hidden="1">{"ALL",#N/A,FALSE,"Summary";"ALL",#N/A,FALSE,"Vs LE";"all",#N/A,FALSE,"Targets";"all",#N/A,FALSE,"FLASH";"print calc",#N/A,FALSE,"Calc";"all",#N/A,FALSE,"Corporate costs";"all",#N/A,FALSE,"Corporate costs (2)"}</definedName>
    <definedName name="gg" localSheetId="3" hidden="1">{"ALL",#N/A,FALSE,"Summary";"ALL",#N/A,FALSE,"Vs LE";"all",#N/A,FALSE,"Targets";"all",#N/A,FALSE,"FLASH";"print calc",#N/A,FALSE,"Calc";"all",#N/A,FALSE,"Corporate costs";"all",#N/A,FALSE,"Corporate costs (2)"}</definedName>
    <definedName name="gg" localSheetId="4" hidden="1">{"ALL",#N/A,FALSE,"Summary";"ALL",#N/A,FALSE,"Vs LE";"all",#N/A,FALSE,"Targets";"all",#N/A,FALSE,"FLASH";"print calc",#N/A,FALSE,"Calc";"all",#N/A,FALSE,"Corporate costs";"all",#N/A,FALSE,"Corporate costs (2)"}</definedName>
    <definedName name="gg" localSheetId="5" hidden="1">{"ALL",#N/A,FALSE,"Summary";"ALL",#N/A,FALSE,"Vs LE";"all",#N/A,FALSE,"Targets";"all",#N/A,FALSE,"FLASH";"print calc",#N/A,FALSE,"Calc";"all",#N/A,FALSE,"Corporate costs";"all",#N/A,FALSE,"Corporate costs (2)"}</definedName>
    <definedName name="gg" hidden="1">{"ALL",#N/A,FALSE,"Summary";"ALL",#N/A,FALSE,"Vs LE";"all",#N/A,FALSE,"Targets";"all",#N/A,FALSE,"FLASH";"print calc",#N/A,FALSE,"Calc";"all",#N/A,FALSE,"Corporate costs";"all",#N/A,FALSE,"Corporate costs (2)"}</definedName>
    <definedName name="ggg" localSheetId="1" hidden="1">{#N/A,#N/A,FALSE,"지침";#N/A,#N/A,FALSE,"환경분석";#N/A,#N/A,FALSE,"Sheet16"}</definedName>
    <definedName name="ggg" localSheetId="3" hidden="1">{#N/A,#N/A,FALSE,"지침";#N/A,#N/A,FALSE,"환경분석";#N/A,#N/A,FALSE,"Sheet16"}</definedName>
    <definedName name="ggg" localSheetId="4" hidden="1">{#N/A,#N/A,FALSE,"지침";#N/A,#N/A,FALSE,"환경분석";#N/A,#N/A,FALSE,"Sheet16"}</definedName>
    <definedName name="ggg" localSheetId="5" hidden="1">{#N/A,#N/A,FALSE,"지침";#N/A,#N/A,FALSE,"환경분석";#N/A,#N/A,FALSE,"Sheet16"}</definedName>
    <definedName name="ggg" hidden="1">{#N/A,#N/A,FALSE,"지침";#N/A,#N/A,FALSE,"환경분석";#N/A,#N/A,FALSE,"Sheet16"}</definedName>
    <definedName name="Glen1" localSheetId="1" hidden="1">{"summary",#N/A,FALSE,"Sum";"sum op",#N/A,FALSE,"Sum OP";"op hy",#N/A,FALSE,"Sum OP (HY)";"sum tp",#N/A,FALSE,"Sum TP";"udv",#N/A,FALSE,"UDV";"tpc",#N/A,FALSE,"Pillsbury";"guinness",#N/A,FALSE,"Guinness";"bk",#N/A,FALSE,"BK";"fx",#N/A,FALSE,"FX";"assocs",#N/A,FALSE,"Assoc1";"assocs",#N/A,FALSE,"Assoc2"}</definedName>
    <definedName name="Glen1" localSheetId="3" hidden="1">{"summary",#N/A,FALSE,"Sum";"sum op",#N/A,FALSE,"Sum OP";"op hy",#N/A,FALSE,"Sum OP (HY)";"sum tp",#N/A,FALSE,"Sum TP";"udv",#N/A,FALSE,"UDV";"tpc",#N/A,FALSE,"Pillsbury";"guinness",#N/A,FALSE,"Guinness";"bk",#N/A,FALSE,"BK";"fx",#N/A,FALSE,"FX";"assocs",#N/A,FALSE,"Assoc1";"assocs",#N/A,FALSE,"Assoc2"}</definedName>
    <definedName name="Glen1" localSheetId="4" hidden="1">{"summary",#N/A,FALSE,"Sum";"sum op",#N/A,FALSE,"Sum OP";"op hy",#N/A,FALSE,"Sum OP (HY)";"sum tp",#N/A,FALSE,"Sum TP";"udv",#N/A,FALSE,"UDV";"tpc",#N/A,FALSE,"Pillsbury";"guinness",#N/A,FALSE,"Guinness";"bk",#N/A,FALSE,"BK";"fx",#N/A,FALSE,"FX";"assocs",#N/A,FALSE,"Assoc1";"assocs",#N/A,FALSE,"Assoc2"}</definedName>
    <definedName name="Glen1" localSheetId="5" hidden="1">{"summary",#N/A,FALSE,"Sum";"sum op",#N/A,FALSE,"Sum OP";"op hy",#N/A,FALSE,"Sum OP (HY)";"sum tp",#N/A,FALSE,"Sum TP";"udv",#N/A,FALSE,"UDV";"tpc",#N/A,FALSE,"Pillsbury";"guinness",#N/A,FALSE,"Guinness";"bk",#N/A,FALSE,"BK";"fx",#N/A,FALSE,"FX";"assocs",#N/A,FALSE,"Assoc1";"assocs",#N/A,FALSE,"Assoc2"}</definedName>
    <definedName name="Glen1" hidden="1">{"summary",#N/A,FALSE,"Sum";"sum op",#N/A,FALSE,"Sum OP";"op hy",#N/A,FALSE,"Sum OP (HY)";"sum tp",#N/A,FALSE,"Sum TP";"udv",#N/A,FALSE,"UDV";"tpc",#N/A,FALSE,"Pillsbury";"guinness",#N/A,FALSE,"Guinness";"bk",#N/A,FALSE,"BK";"fx",#N/A,FALSE,"FX";"assocs",#N/A,FALSE,"Assoc1";"assocs",#N/A,FALSE,"Assoc2"}</definedName>
    <definedName name="glkjdlkjds" hidden="1">#REF!</definedName>
    <definedName name="good" localSheetId="1" hidden="1">{"print calc",#N/A,FALSE,"Sheet1"}</definedName>
    <definedName name="good" localSheetId="3" hidden="1">{"print calc",#N/A,FALSE,"Sheet1"}</definedName>
    <definedName name="good" localSheetId="4" hidden="1">{"print calc",#N/A,FALSE,"Sheet1"}</definedName>
    <definedName name="good" localSheetId="5" hidden="1">{"print calc",#N/A,FALSE,"Sheet1"}</definedName>
    <definedName name="good" hidden="1">{"print calc",#N/A,FALSE,"Sheet1"}</definedName>
    <definedName name="Hard" localSheetId="1" hidden="1">{#N/A,#N/A,FALSE,"지침";#N/A,#N/A,FALSE,"환경분석";#N/A,#N/A,FALSE,"Sheet16"}</definedName>
    <definedName name="Hard" localSheetId="3" hidden="1">{#N/A,#N/A,FALSE,"지침";#N/A,#N/A,FALSE,"환경분석";#N/A,#N/A,FALSE,"Sheet16"}</definedName>
    <definedName name="Hard" localSheetId="4" hidden="1">{#N/A,#N/A,FALSE,"지침";#N/A,#N/A,FALSE,"환경분석";#N/A,#N/A,FALSE,"Sheet16"}</definedName>
    <definedName name="Hard" localSheetId="5" hidden="1">{#N/A,#N/A,FALSE,"지침";#N/A,#N/A,FALSE,"환경분석";#N/A,#N/A,FALSE,"Sheet16"}</definedName>
    <definedName name="Hard" hidden="1">{#N/A,#N/A,FALSE,"지침";#N/A,#N/A,FALSE,"환경분석";#N/A,#N/A,FALSE,"Sheet16"}</definedName>
    <definedName name="hell" localSheetId="1" hidden="1">{"Area1",#N/A,FALSE,"OREWACC";"Area2",#N/A,FALSE,"OREWACC"}</definedName>
    <definedName name="hell" localSheetId="3" hidden="1">{"Area1",#N/A,FALSE,"OREWACC";"Area2",#N/A,FALSE,"OREWACC"}</definedName>
    <definedName name="hell" localSheetId="4" hidden="1">{"Area1",#N/A,FALSE,"OREWACC";"Area2",#N/A,FALSE,"OREWACC"}</definedName>
    <definedName name="hell" localSheetId="5" hidden="1">{"Area1",#N/A,FALSE,"OREWACC";"Area2",#N/A,FALSE,"OREWACC"}</definedName>
    <definedName name="hell" hidden="1">{"Area1",#N/A,FALSE,"OREWACC";"Area2",#N/A,FALSE,"OREWACC"}</definedName>
    <definedName name="helleon" localSheetId="1" hidden="1">{"Area1",#N/A,FALSE,"OREWACC";"Area2",#N/A,FALSE,"OREWACC"}</definedName>
    <definedName name="helleon" localSheetId="3" hidden="1">{"Area1",#N/A,FALSE,"OREWACC";"Area2",#N/A,FALSE,"OREWACC"}</definedName>
    <definedName name="helleon" localSheetId="4" hidden="1">{"Area1",#N/A,FALSE,"OREWACC";"Area2",#N/A,FALSE,"OREWACC"}</definedName>
    <definedName name="helleon" localSheetId="5" hidden="1">{"Area1",#N/A,FALSE,"OREWACC";"Area2",#N/A,FALSE,"OREWACC"}</definedName>
    <definedName name="helleon" hidden="1">{"Area1",#N/A,FALSE,"OREWACC";"Area2",#N/A,FALSE,"OREWACC"}</definedName>
    <definedName name="Hello" localSheetId="1" hidden="1">{"Area1",#N/A,FALSE,"OREWACC";"Area2",#N/A,FALSE,"OREWACC"}</definedName>
    <definedName name="Hello" localSheetId="3" hidden="1">{"Area1",#N/A,FALSE,"OREWACC";"Area2",#N/A,FALSE,"OREWACC"}</definedName>
    <definedName name="Hello" localSheetId="4" hidden="1">{"Area1",#N/A,FALSE,"OREWACC";"Area2",#N/A,FALSE,"OREWACC"}</definedName>
    <definedName name="Hello" localSheetId="5" hidden="1">{"Area1",#N/A,FALSE,"OREWACC";"Area2",#N/A,FALSE,"OREWACC"}</definedName>
    <definedName name="Hello" hidden="1">{"Area1",#N/A,FALSE,"OREWACC";"Area2",#N/A,FALSE,"OREWACC"}</definedName>
    <definedName name="hello1" localSheetId="1" hidden="1">{"Area1",#N/A,FALSE,"OREWACC";"Area2",#N/A,FALSE,"OREWACC"}</definedName>
    <definedName name="hello1" localSheetId="3" hidden="1">{"Area1",#N/A,FALSE,"OREWACC";"Area2",#N/A,FALSE,"OREWACC"}</definedName>
    <definedName name="hello1" localSheetId="4" hidden="1">{"Area1",#N/A,FALSE,"OREWACC";"Area2",#N/A,FALSE,"OREWACC"}</definedName>
    <definedName name="hello1" localSheetId="5" hidden="1">{"Area1",#N/A,FALSE,"OREWACC";"Area2",#N/A,FALSE,"OREWACC"}</definedName>
    <definedName name="hello1" hidden="1">{"Area1",#N/A,FALSE,"OREWACC";"Area2",#N/A,FALSE,"OREWACC"}</definedName>
    <definedName name="hello2" localSheetId="1" hidden="1">{"Area1",#N/A,FALSE,"OREWACC";"Area2",#N/A,FALSE,"OREWACC"}</definedName>
    <definedName name="hello2" localSheetId="3" hidden="1">{"Area1",#N/A,FALSE,"OREWACC";"Area2",#N/A,FALSE,"OREWACC"}</definedName>
    <definedName name="hello2" localSheetId="4" hidden="1">{"Area1",#N/A,FALSE,"OREWACC";"Area2",#N/A,FALSE,"OREWACC"}</definedName>
    <definedName name="hello2" localSheetId="5" hidden="1">{"Area1",#N/A,FALSE,"OREWACC";"Area2",#N/A,FALSE,"OREWACC"}</definedName>
    <definedName name="hello2" hidden="1">{"Area1",#N/A,FALSE,"OREWACC";"Area2",#N/A,FALSE,"OREWACC"}</definedName>
    <definedName name="hhh" localSheetId="1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hhh" localSheetId="3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hhh" localSheetId="4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hhh" localSheetId="5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hhh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hi" localSheetId="1" hidden="1">{#N/A,#N/A,FALSE,"지침";#N/A,#N/A,FALSE,"환경분석";#N/A,#N/A,FALSE,"Sheet16"}</definedName>
    <definedName name="hi" localSheetId="3" hidden="1">{#N/A,#N/A,FALSE,"지침";#N/A,#N/A,FALSE,"환경분석";#N/A,#N/A,FALSE,"Sheet16"}</definedName>
    <definedName name="hi" localSheetId="4" hidden="1">{#N/A,#N/A,FALSE,"지침";#N/A,#N/A,FALSE,"환경분석";#N/A,#N/A,FALSE,"Sheet16"}</definedName>
    <definedName name="hi" localSheetId="5" hidden="1">{#N/A,#N/A,FALSE,"지침";#N/A,#N/A,FALSE,"환경분석";#N/A,#N/A,FALSE,"Sheet16"}</definedName>
    <definedName name="hi" hidden="1">{#N/A,#N/A,FALSE,"지침";#N/A,#N/A,FALSE,"환경분석";#N/A,#N/A,FALSE,"Sheet16"}</definedName>
    <definedName name="HiddenRows" hidden="1">#REF!</definedName>
    <definedName name="hjgjg" localSheetId="1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hjgjg" localSheetId="3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hjgjg" localSheetId="4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hjgjg" localSheetId="5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hjgjg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hlk" localSheetId="1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hlk" localSheetId="3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hlk" localSheetId="4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hlk" localSheetId="5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hlk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hola" localSheetId="1" hidden="1">{"ALL",#N/A,FALSE,"Summary";"ALL",#N/A,FALSE,"Vs LE";"all",#N/A,FALSE,"Targets";"all",#N/A,FALSE,"FLASH";"print calc",#N/A,FALSE,"Calc";"all",#N/A,FALSE,"Corporate costs";"all",#N/A,FALSE,"Corporate costs (2)"}</definedName>
    <definedName name="hola" localSheetId="3" hidden="1">{"ALL",#N/A,FALSE,"Summary";"ALL",#N/A,FALSE,"Vs LE";"all",#N/A,FALSE,"Targets";"all",#N/A,FALSE,"FLASH";"print calc",#N/A,FALSE,"Calc";"all",#N/A,FALSE,"Corporate costs";"all",#N/A,FALSE,"Corporate costs (2)"}</definedName>
    <definedName name="hola" localSheetId="4" hidden="1">{"ALL",#N/A,FALSE,"Summary";"ALL",#N/A,FALSE,"Vs LE";"all",#N/A,FALSE,"Targets";"all",#N/A,FALSE,"FLASH";"print calc",#N/A,FALSE,"Calc";"all",#N/A,FALSE,"Corporate costs";"all",#N/A,FALSE,"Corporate costs (2)"}</definedName>
    <definedName name="hola" localSheetId="5" hidden="1">{"ALL",#N/A,FALSE,"Summary";"ALL",#N/A,FALSE,"Vs LE";"all",#N/A,FALSE,"Targets";"all",#N/A,FALSE,"FLASH";"print calc",#N/A,FALSE,"Calc";"all",#N/A,FALSE,"Corporate costs";"all",#N/A,FALSE,"Corporate costs (2)"}</definedName>
    <definedName name="hola" hidden="1">{"ALL",#N/A,FALSE,"Summary";"ALL",#N/A,FALSE,"Vs LE";"all",#N/A,FALSE,"Targets";"all",#N/A,FALSE,"FLASH";"print calc",#N/A,FALSE,"Calc";"all",#N/A,FALSE,"Corporate costs";"all",#N/A,FALSE,"Corporate costs (2)"}</definedName>
    <definedName name="HTML_CodePage" hidden="1">950</definedName>
    <definedName name="HTML_Control" localSheetId="1" hidden="1">{"'Sheet1'!$L$16"}</definedName>
    <definedName name="HTML_Control" localSheetId="3" hidden="1">{"'Sheet1'!$L$16"}</definedName>
    <definedName name="HTML_Control" localSheetId="4" hidden="1">{"'Sheet1'!$L$16"}</definedName>
    <definedName name="HTML_Control" localSheetId="5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1" hidden="1">{"'Sheet1'!$L$16"}</definedName>
    <definedName name="huy" localSheetId="3" hidden="1">{"'Sheet1'!$L$16"}</definedName>
    <definedName name="huy" localSheetId="4" hidden="1">{"'Sheet1'!$L$16"}</definedName>
    <definedName name="huy" localSheetId="5" hidden="1">{"'Sheet1'!$L$16"}</definedName>
    <definedName name="huy" hidden="1">{"'Sheet1'!$L$16"}</definedName>
    <definedName name="iisjdsjcc" localSheetId="1" hidden="1">{#N/A,#N/A,FALSE,"지침";#N/A,#N/A,FALSE,"환경분석";#N/A,#N/A,FALSE,"Sheet16"}</definedName>
    <definedName name="iisjdsjcc" localSheetId="3" hidden="1">{#N/A,#N/A,FALSE,"지침";#N/A,#N/A,FALSE,"환경분석";#N/A,#N/A,FALSE,"Sheet16"}</definedName>
    <definedName name="iisjdsjcc" localSheetId="4" hidden="1">{#N/A,#N/A,FALSE,"지침";#N/A,#N/A,FALSE,"환경분석";#N/A,#N/A,FALSE,"Sheet16"}</definedName>
    <definedName name="iisjdsjcc" localSheetId="5" hidden="1">{#N/A,#N/A,FALSE,"지침";#N/A,#N/A,FALSE,"환경분석";#N/A,#N/A,FALSE,"Sheet16"}</definedName>
    <definedName name="iisjdsjcc" hidden="1">{#N/A,#N/A,FALSE,"지침";#N/A,#N/A,FALSE,"환경분석";#N/A,#N/A,FALSE,"Sheet16"}</definedName>
    <definedName name="ijdjjd" localSheetId="1" hidden="1">{#N/A,#N/A,FALSE,"지침";#N/A,#N/A,FALSE,"환경분석";#N/A,#N/A,FALSE,"Sheet16"}</definedName>
    <definedName name="ijdjjd" localSheetId="3" hidden="1">{#N/A,#N/A,FALSE,"지침";#N/A,#N/A,FALSE,"환경분석";#N/A,#N/A,FALSE,"Sheet16"}</definedName>
    <definedName name="ijdjjd" localSheetId="4" hidden="1">{#N/A,#N/A,FALSE,"지침";#N/A,#N/A,FALSE,"환경분석";#N/A,#N/A,FALSE,"Sheet16"}</definedName>
    <definedName name="ijdjjd" localSheetId="5" hidden="1">{#N/A,#N/A,FALSE,"지침";#N/A,#N/A,FALSE,"환경분석";#N/A,#N/A,FALSE,"Sheet16"}</definedName>
    <definedName name="ijdjjd" hidden="1">{#N/A,#N/A,FALSE,"지침";#N/A,#N/A,FALSE,"환경분석";#N/A,#N/A,FALSE,"Sheet16"}</definedName>
    <definedName name="IQ_AE_BR" hidden="1">"c10"</definedName>
    <definedName name="IQ_AP_BR" hidden="1">"c34"</definedName>
    <definedName name="IQ_AR_BR" hidden="1">"c41"</definedName>
    <definedName name="IQ_ASSET_WRITEDOWN_BR" hidden="1">"c50"</definedName>
    <definedName name="IQ_ASSET_WRITEDOWN_CF_BR" hidden="1">"c53"</definedName>
    <definedName name="IQ_CAPEX_BR" hidden="1">"c111"</definedName>
    <definedName name="IQ_CH">110000</definedName>
    <definedName name="IQ_CHANGE_AP_BR" hidden="1">"c135"</definedName>
    <definedName name="IQ_CHANGE_AR_BR" hidden="1">"c142"</definedName>
    <definedName name="IQ_CHANGE_OTHER_WORK_CAP_BR" hidden="1">"c154"</definedName>
    <definedName name="IQ_COMMERCIAL_DOM" hidden="1">"c177"</definedName>
    <definedName name="IQ_COMMERCIAL_MORT" hidden="1">"c179"</definedName>
    <definedName name="IQ_COMMON_APIC_BR" hidden="1">"c185"</definedName>
    <definedName name="IQ_COMMON_ISSUED_BR" hidden="1">"c199"</definedName>
    <definedName name="IQ_COMMON_REP_BR" hidden="1">"c208"</definedName>
    <definedName name="IQ_CQ">5000</definedName>
    <definedName name="IQ_CURRENCY_GAIN_BR" hidden="1">"c236"</definedName>
    <definedName name="IQ_CURRENT_PORT_DEBT_BR" hidden="1">"c1567"</definedName>
    <definedName name="IQ_CY">10000</definedName>
    <definedName name="IQ_DA_BR" hidden="1">"c248"</definedName>
    <definedName name="IQ_DA_CF_BR" hidden="1">"c251"</definedName>
    <definedName name="IQ_DA_SUPPL_BR" hidden="1">"c260"</definedName>
    <definedName name="IQ_DA_SUPPL_CF_BR" hidden="1">"c263"</definedName>
    <definedName name="IQ_DAILY">500000</definedName>
    <definedName name="IQ_DEF_AMORT_BR" hidden="1">"c278"</definedName>
    <definedName name="IQ_DEF_CHARGES_BR" hidden="1">"c288"</definedName>
    <definedName name="IQ_DEF_CHARGES_LT_BR" hidden="1">"c294"</definedName>
    <definedName name="IQ_DEF_TAX_ASSET_LT_BR" hidden="1">"c304"</definedName>
    <definedName name="IQ_DEF_TAX_LIAB_LT_BR" hidden="1">"c315"</definedName>
    <definedName name="IQ_DNTM" hidden="1">700000</definedName>
    <definedName name="IQ_EBT_BR" hidden="1">"c378"</definedName>
    <definedName name="IQ_EBT_EXCL_BR" hidden="1">"c381"</definedName>
    <definedName name="IQ_EXTRA_ACC_ITEMS_BR" hidden="1">"c412"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GAIN_ASSETS_BR" hidden="1">"c454"</definedName>
    <definedName name="IQ_GAIN_ASSETS_CF_BR" hidden="1">"c457"</definedName>
    <definedName name="IQ_GAIN_ASSETS_REV_BR" hidden="1">"c474"</definedName>
    <definedName name="IQ_GAIN_INVEST_BR" hidden="1">"c1464"</definedName>
    <definedName name="IQ_GAIN_INVEST_CF_BR" hidden="1">"c482"</definedName>
    <definedName name="IQ_GAIN_INVEST_REV_BR" hidden="1">"c496"</definedName>
    <definedName name="IQ_GW_AMORT_BR" hidden="1">"c532"</definedName>
    <definedName name="IQ_GW_INTAN_AMORT_BR" hidden="1">"c1470"</definedName>
    <definedName name="IQ_GW_INTAN_AMORT_CF_BR" hidden="1">"c1473"</definedName>
    <definedName name="IQ_INC_EQUITY_BR" hidden="1">"c550"</definedName>
    <definedName name="IQ_INS_SETTLE_BR" hidden="1">"c572"</definedName>
    <definedName name="IQ_INT_EXP_BR" hidden="1">"c586"</definedName>
    <definedName name="IQ_INT_INC_BR" hidden="1">"c593"</definedName>
    <definedName name="IQ_INVEST_LOANS_CF_BR" hidden="1">"c630"</definedName>
    <definedName name="IQ_INVEST_SECURITY_CF_BR" hidden="1">"c639"</definedName>
    <definedName name="IQ_LATESTK" hidden="1">1000</definedName>
    <definedName name="IQ_LATESTQ" hidden="1">500</definedName>
    <definedName name="IQ_LEGAL_SETTLE_BR" hidden="1">"c649"</definedName>
    <definedName name="IQ_LOANS_CF_BR" hidden="1">"c661"</definedName>
    <definedName name="IQ_LT_DEBT_BR" hidden="1">"c676"</definedName>
    <definedName name="IQ_LT_DEBT_ISSUED_BR" hidden="1">"c683"</definedName>
    <definedName name="IQ_LT_DEBT_REPAID_BR" hidden="1">"c691"</definedName>
    <definedName name="IQ_LT_INVEST_BR" hidden="1">"c698"</definedName>
    <definedName name="IQ_LTM">2000</definedName>
    <definedName name="IQ_LTMMONTH" hidden="1">120000</definedName>
    <definedName name="IQ_MERGER_BR" hidden="1">"c715"</definedName>
    <definedName name="IQ_MERGER_RESTRUCTURE_BR" hidden="1">"c721"</definedName>
    <definedName name="IQ_MINORITY_INTEREST_BR" hidden="1">"c729"</definedName>
    <definedName name="IQ_MONTH">15000</definedName>
    <definedName name="IQ_MTD" hidden="1">800000</definedName>
    <definedName name="IQ_NAMES_REVISION_DATE_" hidden="1">45855.7536111111</definedName>
    <definedName name="IQ_NET_DEBT_ISSUED_BR" hidden="1">"c753"</definedName>
    <definedName name="IQ_NET_INT_INC_BR" hidden="1">"c765"</definedName>
    <definedName name="IQ_NTM">6000</definedName>
    <definedName name="IQ_OG_TOTAL_OIL_PRODUCTON" hidden="1">"c2059"</definedName>
    <definedName name="IQ_OPER_INC_BR" hidden="1">"c850"</definedName>
    <definedName name="IQ_OTHER_ASSETS_BR" hidden="1">"c862"</definedName>
    <definedName name="IQ_OTHER_CA_SUPPL_BR" hidden="1">"c871"</definedName>
    <definedName name="IQ_OTHER_CL_SUPPL_BR" hidden="1">"c880"</definedName>
    <definedName name="IQ_OTHER_EQUITY_BR" hidden="1">"c888"</definedName>
    <definedName name="IQ_OTHER_FINANCE_ACT_BR" hidden="1">"c895"</definedName>
    <definedName name="IQ_OTHER_FINANCE_ACT_SUPPL_BR" hidden="1">"c901"</definedName>
    <definedName name="IQ_OTHER_INTAN_BR" hidden="1">"c909"</definedName>
    <definedName name="IQ_OTHER_INVEST_ACT_BR" hidden="1">"c918"</definedName>
    <definedName name="IQ_OTHER_INVEST_ACT_SUPPL_BR" hidden="1">"c924"</definedName>
    <definedName name="IQ_OTHER_LIAB_BR" hidden="1">"c932"</definedName>
    <definedName name="IQ_OTHER_LIAB_LT_BR" hidden="1">"c937"</definedName>
    <definedName name="IQ_OTHER_LT_ASSETS_BR" hidden="1">"c948"</definedName>
    <definedName name="IQ_OTHER_NON_OPER_EXP_BR" hidden="1">"c957"</definedName>
    <definedName name="IQ_OTHER_NON_OPER_EXP_SUPPL_BR" hidden="1">"c962"</definedName>
    <definedName name="IQ_OTHER_OPER_ACT_BR" hidden="1">"c985"</definedName>
    <definedName name="IQ_OTHER_OPER_BR" hidden="1">"c990"</definedName>
    <definedName name="IQ_OTHER_OPER_SUPPL_BR" hidden="1">"c994"</definedName>
    <definedName name="IQ_OTHER_OPER_TOT_BR" hidden="1">"c1000"</definedName>
    <definedName name="IQ_OTHER_REV_BR" hidden="1">"c1011"</definedName>
    <definedName name="IQ_OTHER_REV_SUPPL_BR" hidden="1">"c1016"</definedName>
    <definedName name="IQ_OTHER_UNUSUAL_BR" hidden="1">"c1561"</definedName>
    <definedName name="IQ_OTHER_UNUSUAL_SUPPL_BR" hidden="1">"c1496"</definedName>
    <definedName name="IQ_PC_WRITTEN" hidden="1">"c1027"</definedName>
    <definedName name="IQ_PREF_ISSUED_BR" hidden="1">"c1047"</definedName>
    <definedName name="IQ_PREF_OTHER_BR" hidden="1">"c1055"</definedName>
    <definedName name="IQ_PREF_REP_BR" hidden="1">"c1062"</definedName>
    <definedName name="IQ_QTD" hidden="1">750000</definedName>
    <definedName name="IQ_RESIDENTIAL_LOANS" hidden="1">"c1102"</definedName>
    <definedName name="IQ_RESTRUCTURE_BR" hidden="1">"c1106"</definedName>
    <definedName name="IQ_RETURN_ASSETS_BROK" hidden="1">"c1115"</definedName>
    <definedName name="IQ_RETURN_EQUITY_BROK" hidden="1">"c1120"</definedName>
    <definedName name="IQ_SALE_INTAN_CF_BR" hidden="1">"c1133"</definedName>
    <definedName name="IQ_SALE_PPE_CF_BR" hidden="1">"c1139"</definedName>
    <definedName name="IQ_SALE_REAL_ESTATE_CF_BR" hidden="1">"c1145"</definedName>
    <definedName name="IQ_SHAREOUTSTANDING" hidden="1">"c1347"</definedName>
    <definedName name="IQ_SPECIAL_DIV_CF_BR" hidden="1">"c1171"</definedName>
    <definedName name="IQ_ST_DEBT_BR" hidden="1">"c1178"</definedName>
    <definedName name="IQ_ST_DEBT_ISSUED_BR" hidden="1">"c1183"</definedName>
    <definedName name="IQ_ST_DEBT_REPAID_BR" hidden="1">"c1191"</definedName>
    <definedName name="IQ_TODAY" hidden="1">0</definedName>
    <definedName name="IQ_TOTAL_AR_BR" hidden="1">"c1231"</definedName>
    <definedName name="IQ_TOTAL_DEBT_ISSUED_BR" hidden="1">"c1253"</definedName>
    <definedName name="IQ_TOTAL_DEBT_REPAID_BR" hidden="1">"c1260"</definedName>
    <definedName name="IQ_TOTAL_LIAB_BR" hidden="1">"c1278"</definedName>
    <definedName name="IQ_TOTAL_OPER_EXP_BR" hidden="1">"c1284"</definedName>
    <definedName name="IQ_TOTAL_PENSION_OBLIGATION" hidden="1">"c1292"</definedName>
    <definedName name="IQ_TOTAL_REV_BR" hidden="1">"c1303"</definedName>
    <definedName name="IQ_TREASURY_OTHER_EQUITY_BR" hidden="1">"c1314"</definedName>
    <definedName name="IQ_UNEARN_REV_CURRENT_BR" hidden="1">"c1324"</definedName>
    <definedName name="IQ_WEEK">50000</definedName>
    <definedName name="IQ_YTD">3000</definedName>
    <definedName name="IQ_YTDMONTH" hidden="1">130000</definedName>
    <definedName name="j" localSheetId="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j" localSheetId="3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j" localSheetId="4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j" localSheetId="5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j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jaap" localSheetId="1" hidden="1">{"sum op",#N/A,FALSE,"Sum OP";"op hy",#N/A,FALSE,"Sum OP (HY)";"sum tp",#N/A,FALSE,"Sum TP"}</definedName>
    <definedName name="jaap" localSheetId="3" hidden="1">{"sum op",#N/A,FALSE,"Sum OP";"op hy",#N/A,FALSE,"Sum OP (HY)";"sum tp",#N/A,FALSE,"Sum TP"}</definedName>
    <definedName name="jaap" localSheetId="4" hidden="1">{"sum op",#N/A,FALSE,"Sum OP";"op hy",#N/A,FALSE,"Sum OP (HY)";"sum tp",#N/A,FALSE,"Sum TP"}</definedName>
    <definedName name="jaap" localSheetId="5" hidden="1">{"sum op",#N/A,FALSE,"Sum OP";"op hy",#N/A,FALSE,"Sum OP (HY)";"sum tp",#N/A,FALSE,"Sum TP"}</definedName>
    <definedName name="jaap" hidden="1">{"sum op",#N/A,FALSE,"Sum OP";"op hy",#N/A,FALSE,"Sum OP (HY)";"sum tp",#N/A,FALSE,"Sum TP"}</definedName>
    <definedName name="Jay" localSheetId="1" hidden="1">{"all",#N/A,FALSE,"Corporate costs";"all",#N/A,FALSE,"Corporate costs (2)"}</definedName>
    <definedName name="Jay" localSheetId="3" hidden="1">{"all",#N/A,FALSE,"Corporate costs";"all",#N/A,FALSE,"Corporate costs (2)"}</definedName>
    <definedName name="Jay" localSheetId="4" hidden="1">{"all",#N/A,FALSE,"Corporate costs";"all",#N/A,FALSE,"Corporate costs (2)"}</definedName>
    <definedName name="Jay" localSheetId="5" hidden="1">{"all",#N/A,FALSE,"Corporate costs";"all",#N/A,FALSE,"Corporate costs (2)"}</definedName>
    <definedName name="Jay" hidden="1">{"all",#N/A,FALSE,"Corporate costs";"all",#N/A,FALSE,"Corporate costs (2)"}</definedName>
    <definedName name="jfgfgj" localSheetId="1" hidden="1">{"sum op",#N/A,FALSE,"Sum OP";"op hy",#N/A,FALSE,"Sum OP (HY)";"sum tp",#N/A,FALSE,"Sum TP"}</definedName>
    <definedName name="jfgfgj" localSheetId="3" hidden="1">{"sum op",#N/A,FALSE,"Sum OP";"op hy",#N/A,FALSE,"Sum OP (HY)";"sum tp",#N/A,FALSE,"Sum TP"}</definedName>
    <definedName name="jfgfgj" localSheetId="4" hidden="1">{"sum op",#N/A,FALSE,"Sum OP";"op hy",#N/A,FALSE,"Sum OP (HY)";"sum tp",#N/A,FALSE,"Sum TP"}</definedName>
    <definedName name="jfgfgj" localSheetId="5" hidden="1">{"sum op",#N/A,FALSE,"Sum OP";"op hy",#N/A,FALSE,"Sum OP (HY)";"sum tp",#N/A,FALSE,"Sum TP"}</definedName>
    <definedName name="jfgfgj" hidden="1">{"sum op",#N/A,FALSE,"Sum OP";"op hy",#N/A,FALSE,"Sum OP (HY)";"sum tp",#N/A,FALSE,"Sum TP"}</definedName>
    <definedName name="jfgjfgj" localSheetId="1" hidden="1">{"sum op",#N/A,FALSE,"Sum OP";"op hy",#N/A,FALSE,"Sum OP (HY)";"sum tp",#N/A,FALSE,"Sum TP"}</definedName>
    <definedName name="jfgjfgj" localSheetId="3" hidden="1">{"sum op",#N/A,FALSE,"Sum OP";"op hy",#N/A,FALSE,"Sum OP (HY)";"sum tp",#N/A,FALSE,"Sum TP"}</definedName>
    <definedName name="jfgjfgj" localSheetId="4" hidden="1">{"sum op",#N/A,FALSE,"Sum OP";"op hy",#N/A,FALSE,"Sum OP (HY)";"sum tp",#N/A,FALSE,"Sum TP"}</definedName>
    <definedName name="jfgjfgj" localSheetId="5" hidden="1">{"sum op",#N/A,FALSE,"Sum OP";"op hy",#N/A,FALSE,"Sum OP (HY)";"sum tp",#N/A,FALSE,"Sum TP"}</definedName>
    <definedName name="jfgjfgj" hidden="1">{"sum op",#N/A,FALSE,"Sum OP";"op hy",#N/A,FALSE,"Sum OP (HY)";"sum tp",#N/A,FALSE,"Sum TP"}</definedName>
    <definedName name="k" localSheetId="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k" localSheetId="3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k" localSheetId="4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k" localSheetId="5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k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KDJDJJC" localSheetId="1" hidden="1">{#N/A,#N/A,FALSE,"지침";#N/A,#N/A,FALSE,"환경분석";#N/A,#N/A,FALSE,"Sheet16"}</definedName>
    <definedName name="KDJDJJC" localSheetId="3" hidden="1">{#N/A,#N/A,FALSE,"지침";#N/A,#N/A,FALSE,"환경분석";#N/A,#N/A,FALSE,"Sheet16"}</definedName>
    <definedName name="KDJDJJC" localSheetId="4" hidden="1">{#N/A,#N/A,FALSE,"지침";#N/A,#N/A,FALSE,"환경분석";#N/A,#N/A,FALSE,"Sheet16"}</definedName>
    <definedName name="KDJDJJC" localSheetId="5" hidden="1">{#N/A,#N/A,FALSE,"지침";#N/A,#N/A,FALSE,"환경분석";#N/A,#N/A,FALSE,"Sheet16"}</definedName>
    <definedName name="KDJDJJC" hidden="1">{#N/A,#N/A,FALSE,"지침";#N/A,#N/A,FALSE,"환경분석";#N/A,#N/A,FALSE,"Sheet16"}</definedName>
    <definedName name="kdlf" localSheetId="1" hidden="1">{"ALL",#N/A,FALSE,"Summary";"ALL",#N/A,FALSE,"Vs LE";"all",#N/A,FALSE,"Targets";"all",#N/A,FALSE,"FLASH";"print calc",#N/A,FALSE,"Calc";"all",#N/A,FALSE,"Corporate costs";"all",#N/A,FALSE,"Corporate costs (2)"}</definedName>
    <definedName name="kdlf" localSheetId="3" hidden="1">{"ALL",#N/A,FALSE,"Summary";"ALL",#N/A,FALSE,"Vs LE";"all",#N/A,FALSE,"Targets";"all",#N/A,FALSE,"FLASH";"print calc",#N/A,FALSE,"Calc";"all",#N/A,FALSE,"Corporate costs";"all",#N/A,FALSE,"Corporate costs (2)"}</definedName>
    <definedName name="kdlf" localSheetId="4" hidden="1">{"ALL",#N/A,FALSE,"Summary";"ALL",#N/A,FALSE,"Vs LE";"all",#N/A,FALSE,"Targets";"all",#N/A,FALSE,"FLASH";"print calc",#N/A,FALSE,"Calc";"all",#N/A,FALSE,"Corporate costs";"all",#N/A,FALSE,"Corporate costs (2)"}</definedName>
    <definedName name="kdlf" localSheetId="5" hidden="1">{"ALL",#N/A,FALSE,"Summary";"ALL",#N/A,FALSE,"Vs LE";"all",#N/A,FALSE,"Targets";"all",#N/A,FALSE,"FLASH";"print calc",#N/A,FALSE,"Calc";"all",#N/A,FALSE,"Corporate costs";"all",#N/A,FALSE,"Corporate costs (2)"}</definedName>
    <definedName name="kdlf" hidden="1">{"ALL",#N/A,FALSE,"Summary";"ALL",#N/A,FALSE,"Vs LE";"all",#N/A,FALSE,"Targets";"all",#N/A,FALSE,"FLASH";"print calc",#N/A,FALSE,"Calc";"all",#N/A,FALSE,"Corporate costs";"all",#N/A,FALSE,"Corporate costs (2)"}</definedName>
    <definedName name="l" localSheetId="1" hidden="1">{"all",#N/A,FALSE,"Corporate costs";"all",#N/A,FALSE,"Corporate costs (2)"}</definedName>
    <definedName name="l" localSheetId="3" hidden="1">{"all",#N/A,FALSE,"Corporate costs";"all",#N/A,FALSE,"Corporate costs (2)"}</definedName>
    <definedName name="l" localSheetId="4" hidden="1">{"all",#N/A,FALSE,"Corporate costs";"all",#N/A,FALSE,"Corporate costs (2)"}</definedName>
    <definedName name="l" localSheetId="5" hidden="1">{"all",#N/A,FALSE,"Corporate costs";"all",#N/A,FALSE,"Corporate costs (2)"}</definedName>
    <definedName name="l" hidden="1">{"all",#N/A,FALSE,"Corporate costs";"all",#N/A,FALSE,"Corporate costs (2)"}</definedName>
    <definedName name="lan" localSheetId="1" hidden="1">{#N/A,#N/A,TRUE,"BT M200 da 10x20"}</definedName>
    <definedName name="lan" localSheetId="3" hidden="1">{#N/A,#N/A,TRUE,"BT M200 da 10x20"}</definedName>
    <definedName name="lan" localSheetId="4" hidden="1">{#N/A,#N/A,TRUE,"BT M200 da 10x20"}</definedName>
    <definedName name="lan" localSheetId="5" hidden="1">{#N/A,#N/A,TRUE,"BT M200 da 10x20"}</definedName>
    <definedName name="lan" hidden="1">{#N/A,#N/A,TRUE,"BT M200 da 10x20"}</definedName>
    <definedName name="latam" localSheetId="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latam" localSheetId="3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latam" localSheetId="4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latam" localSheetId="5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latam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ListOffset" hidden="1">1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" localSheetId="1" hidden="1">{"all",#N/A,FALSE,"FLASH"}</definedName>
    <definedName name="m" localSheetId="3" hidden="1">{"all",#N/A,FALSE,"FLASH"}</definedName>
    <definedName name="m" localSheetId="4" hidden="1">{"all",#N/A,FALSE,"FLASH"}</definedName>
    <definedName name="m" localSheetId="5" hidden="1">{"all",#N/A,FALSE,"FLASH"}</definedName>
    <definedName name="m" hidden="1">{"all",#N/A,FALSE,"FLASH"}</definedName>
    <definedName name="M_PlaceofPath" hidden="1">"F:\JCLARK\AHC\ahc_vdf.xls"</definedName>
    <definedName name="ma" localSheetId="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ma" localSheetId="3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ma" localSheetId="4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ma" localSheetId="5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ma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marble" localSheetId="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marble" localSheetId="3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marble" localSheetId="4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marble" localSheetId="5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marble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mihit" localSheetId="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mihit" localSheetId="3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mihit" localSheetId="4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mihit" localSheetId="5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mihit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mkmkmkmkmk">#REF!</definedName>
    <definedName name="mshare">#REF!</definedName>
    <definedName name="n" localSheetId="1" hidden="1">{"all",#N/A,FALSE,"FLASH"}</definedName>
    <definedName name="n" localSheetId="3" hidden="1">{"all",#N/A,FALSE,"FLASH"}</definedName>
    <definedName name="n" localSheetId="4" hidden="1">{"all",#N/A,FALSE,"FLASH"}</definedName>
    <definedName name="n" localSheetId="5" hidden="1">{"all",#N/A,FALSE,"FLASH"}</definedName>
    <definedName name="n" hidden="1">{"all",#N/A,FALSE,"FLASH"}</definedName>
    <definedName name="namew" localSheetId="1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namew" localSheetId="3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namew" localSheetId="4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namew" localSheetId="5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namew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New" localSheetId="1" hidden="1">{"all",#N/A,FALSE,"Corporate costs";"all",#N/A,FALSE,"Corporate costs (2)"}</definedName>
    <definedName name="New" localSheetId="3" hidden="1">{"all",#N/A,FALSE,"Corporate costs";"all",#N/A,FALSE,"Corporate costs (2)"}</definedName>
    <definedName name="New" localSheetId="4" hidden="1">{"all",#N/A,FALSE,"Corporate costs";"all",#N/A,FALSE,"Corporate costs (2)"}</definedName>
    <definedName name="New" localSheetId="5" hidden="1">{"all",#N/A,FALSE,"Corporate costs";"all",#N/A,FALSE,"Corporate costs (2)"}</definedName>
    <definedName name="New" hidden="1">{"all",#N/A,FALSE,"Corporate costs";"all",#N/A,FALSE,"Corporate costs (2)"}</definedName>
    <definedName name="ohfswhif">#REF!</definedName>
    <definedName name="opo" localSheetId="1" hidden="1">{#N/A,#N/A,FALSE,"지침";#N/A,#N/A,FALSE,"환경분석";#N/A,#N/A,FALSE,"Sheet16"}</definedName>
    <definedName name="opo" localSheetId="3" hidden="1">{#N/A,#N/A,FALSE,"지침";#N/A,#N/A,FALSE,"환경분석";#N/A,#N/A,FALSE,"Sheet16"}</definedName>
    <definedName name="opo" localSheetId="4" hidden="1">{#N/A,#N/A,FALSE,"지침";#N/A,#N/A,FALSE,"환경분석";#N/A,#N/A,FALSE,"Sheet16"}</definedName>
    <definedName name="opo" localSheetId="5" hidden="1">{#N/A,#N/A,FALSE,"지침";#N/A,#N/A,FALSE,"환경분석";#N/A,#N/A,FALSE,"Sheet16"}</definedName>
    <definedName name="opo" hidden="1">{#N/A,#N/A,FALSE,"지침";#N/A,#N/A,FALSE,"환경분석";#N/A,#N/A,FALSE,"Sheet16"}</definedName>
    <definedName name="OPO00" localSheetId="1" hidden="1">{#N/A,#N/A,FALSE,"지침";#N/A,#N/A,FALSE,"환경분석";#N/A,#N/A,FALSE,"Sheet16"}</definedName>
    <definedName name="OPO00" localSheetId="3" hidden="1">{#N/A,#N/A,FALSE,"지침";#N/A,#N/A,FALSE,"환경분석";#N/A,#N/A,FALSE,"Sheet16"}</definedName>
    <definedName name="OPO00" localSheetId="4" hidden="1">{#N/A,#N/A,FALSE,"지침";#N/A,#N/A,FALSE,"환경분석";#N/A,#N/A,FALSE,"Sheet16"}</definedName>
    <definedName name="OPO00" localSheetId="5" hidden="1">{#N/A,#N/A,FALSE,"지침";#N/A,#N/A,FALSE,"환경분석";#N/A,#N/A,FALSE,"Sheet16"}</definedName>
    <definedName name="OPO00" hidden="1">{#N/A,#N/A,FALSE,"지침";#N/A,#N/A,FALSE,"환경분석";#N/A,#N/A,FALSE,"Sheet16"}</definedName>
    <definedName name="Option3" localSheetId="1" hidden="1">{#N/A,#N/A,FALSE,"지침";#N/A,#N/A,FALSE,"환경분석";#N/A,#N/A,FALSE,"Sheet16"}</definedName>
    <definedName name="Option3" localSheetId="3" hidden="1">{#N/A,#N/A,FALSE,"지침";#N/A,#N/A,FALSE,"환경분석";#N/A,#N/A,FALSE,"Sheet16"}</definedName>
    <definedName name="Option3" localSheetId="4" hidden="1">{#N/A,#N/A,FALSE,"지침";#N/A,#N/A,FALSE,"환경분석";#N/A,#N/A,FALSE,"Sheet16"}</definedName>
    <definedName name="Option3" localSheetId="5" hidden="1">{#N/A,#N/A,FALSE,"지침";#N/A,#N/A,FALSE,"환경분석";#N/A,#N/A,FALSE,"Sheet16"}</definedName>
    <definedName name="Option3" hidden="1">{#N/A,#N/A,FALSE,"지침";#N/A,#N/A,FALSE,"환경분석";#N/A,#N/A,FALSE,"Sheet16"}</definedName>
    <definedName name="OrderTable" hidden="1">#REF!</definedName>
    <definedName name="ppo" localSheetId="1" hidden="1">{#N/A,#N/A,FALSE,"지침";#N/A,#N/A,FALSE,"환경분석";#N/A,#N/A,FALSE,"Sheet16"}</definedName>
    <definedName name="ppo" localSheetId="3" hidden="1">{#N/A,#N/A,FALSE,"지침";#N/A,#N/A,FALSE,"환경분석";#N/A,#N/A,FALSE,"Sheet16"}</definedName>
    <definedName name="ppo" localSheetId="4" hidden="1">{#N/A,#N/A,FALSE,"지침";#N/A,#N/A,FALSE,"환경분석";#N/A,#N/A,FALSE,"Sheet16"}</definedName>
    <definedName name="ppo" localSheetId="5" hidden="1">{#N/A,#N/A,FALSE,"지침";#N/A,#N/A,FALSE,"환경분석";#N/A,#N/A,FALSE,"Sheet16"}</definedName>
    <definedName name="ppo" hidden="1">{#N/A,#N/A,FALSE,"지침";#N/A,#N/A,FALSE,"환경분석";#N/A,#N/A,FALSE,"Sheet16"}</definedName>
    <definedName name="PRA_Val_Matrix" localSheetId="1" hidden="1">{"BankView",#N/A,FALSE,"TransSum";#N/A,#N/A,FALSE,"Lab";#N/A,#N/A,FALSE,"Micro wo HiPur";#N/A,#N/A,FALSE,"Texas";#N/A,#N/A,FALSE,"Temple";#N/A,#N/A,FALSE,"Micro";#N/A,#N/A,FALSE,"BuyResale";#N/A,#N/A,FALSE,"Spec.";#N/A,#N/A,FALSE,"Comb";#N/A,#N/A,FALSE,"StandAlon";#N/A,#N/A,FALSE,"IncStmt";#N/A,#N/A,FALSE,"BalSht";#N/A,#N/A,FALSE,"CapEx";#N/A,#N/A,FALSE,"CashFlow";#N/A,#N/A,FALSE,"TBS"}</definedName>
    <definedName name="PRA_Val_Matrix" localSheetId="3" hidden="1">{"BankView",#N/A,FALSE,"TransSum";#N/A,#N/A,FALSE,"Lab";#N/A,#N/A,FALSE,"Micro wo HiPur";#N/A,#N/A,FALSE,"Texas";#N/A,#N/A,FALSE,"Temple";#N/A,#N/A,FALSE,"Micro";#N/A,#N/A,FALSE,"BuyResale";#N/A,#N/A,FALSE,"Spec.";#N/A,#N/A,FALSE,"Comb";#N/A,#N/A,FALSE,"StandAlon";#N/A,#N/A,FALSE,"IncStmt";#N/A,#N/A,FALSE,"BalSht";#N/A,#N/A,FALSE,"CapEx";#N/A,#N/A,FALSE,"CashFlow";#N/A,#N/A,FALSE,"TBS"}</definedName>
    <definedName name="PRA_Val_Matrix" localSheetId="4" hidden="1">{"BankView",#N/A,FALSE,"TransSum";#N/A,#N/A,FALSE,"Lab";#N/A,#N/A,FALSE,"Micro wo HiPur";#N/A,#N/A,FALSE,"Texas";#N/A,#N/A,FALSE,"Temple";#N/A,#N/A,FALSE,"Micro";#N/A,#N/A,FALSE,"BuyResale";#N/A,#N/A,FALSE,"Spec.";#N/A,#N/A,FALSE,"Comb";#N/A,#N/A,FALSE,"StandAlon";#N/A,#N/A,FALSE,"IncStmt";#N/A,#N/A,FALSE,"BalSht";#N/A,#N/A,FALSE,"CapEx";#N/A,#N/A,FALSE,"CashFlow";#N/A,#N/A,FALSE,"TBS"}</definedName>
    <definedName name="PRA_Val_Matrix" localSheetId="5" hidden="1">{"BankView",#N/A,FALSE,"TransSum";#N/A,#N/A,FALSE,"Lab";#N/A,#N/A,FALSE,"Micro wo HiPur";#N/A,#N/A,FALSE,"Texas";#N/A,#N/A,FALSE,"Temple";#N/A,#N/A,FALSE,"Micro";#N/A,#N/A,FALSE,"BuyResale";#N/A,#N/A,FALSE,"Spec.";#N/A,#N/A,FALSE,"Comb";#N/A,#N/A,FALSE,"StandAlon";#N/A,#N/A,FALSE,"IncStmt";#N/A,#N/A,FALSE,"BalSht";#N/A,#N/A,FALSE,"CapEx";#N/A,#N/A,FALSE,"CashFlow";#N/A,#N/A,FALSE,"TBS"}</definedName>
    <definedName name="PRA_Val_Matrix" hidden="1">{"BankView",#N/A,FALSE,"TransSum";#N/A,#N/A,FALSE,"Lab";#N/A,#N/A,FALSE,"Micro wo HiPur";#N/A,#N/A,FALSE,"Texas";#N/A,#N/A,FALSE,"Temple";#N/A,#N/A,FALSE,"Micro";#N/A,#N/A,FALSE,"BuyResale";#N/A,#N/A,FALSE,"Spec.";#N/A,#N/A,FALSE,"Comb";#N/A,#N/A,FALSE,"StandAlon";#N/A,#N/A,FALSE,"IncStmt";#N/A,#N/A,FALSE,"BalSht";#N/A,#N/A,FALSE,"CapEx";#N/A,#N/A,FALSE,"CashFlow";#N/A,#N/A,FALSE,"TBS"}</definedName>
    <definedName name="PriceRange" hidden="1">OFFSET(#REF!,5,0,COUNTA(#REF!)-COUNTA(#REF!),1)</definedName>
    <definedName name="PriceRangeMain" hidden="1">#REF!</definedName>
    <definedName name="ProdForm" hidden="1">#REF!</definedName>
    <definedName name="Product" hidden="1">#REF!</definedName>
    <definedName name="q" localSheetId="1" hidden="1">{"all",#N/A,FALSE,"FLASH"}</definedName>
    <definedName name="q" localSheetId="3" hidden="1">{"all",#N/A,FALSE,"FLASH"}</definedName>
    <definedName name="q" localSheetId="4" hidden="1">{"all",#N/A,FALSE,"FLASH"}</definedName>
    <definedName name="q" localSheetId="5" hidden="1">{"all",#N/A,FALSE,"FLASH"}</definedName>
    <definedName name="q" hidden="1">{"all",#N/A,FALSE,"FLASH"}</definedName>
    <definedName name="qqq" localSheetId="1" hidden="1">{#N/A,#N/A,FALSE,"지침";#N/A,#N/A,FALSE,"환경분석";#N/A,#N/A,FALSE,"Sheet16"}</definedName>
    <definedName name="qqq" localSheetId="3" hidden="1">{#N/A,#N/A,FALSE,"지침";#N/A,#N/A,FALSE,"환경분석";#N/A,#N/A,FALSE,"Sheet16"}</definedName>
    <definedName name="qqq" localSheetId="4" hidden="1">{#N/A,#N/A,FALSE,"지침";#N/A,#N/A,FALSE,"환경분석";#N/A,#N/A,FALSE,"Sheet16"}</definedName>
    <definedName name="qqq" localSheetId="5" hidden="1">{#N/A,#N/A,FALSE,"지침";#N/A,#N/A,FALSE,"환경분석";#N/A,#N/A,FALSE,"Sheet16"}</definedName>
    <definedName name="qqq" hidden="1">{#N/A,#N/A,FALSE,"지침";#N/A,#N/A,FALSE,"환경분석";#N/A,#N/A,FALSE,"Sheet16"}</definedName>
    <definedName name="qqqqq" localSheetId="1" hidden="1">{"all",#N/A,FALSE,"Corporate costs";"all",#N/A,FALSE,"Corporate costs (2)"}</definedName>
    <definedName name="qqqqq" localSheetId="3" hidden="1">{"all",#N/A,FALSE,"Corporate costs";"all",#N/A,FALSE,"Corporate costs (2)"}</definedName>
    <definedName name="qqqqq" localSheetId="4" hidden="1">{"all",#N/A,FALSE,"Corporate costs";"all",#N/A,FALSE,"Corporate costs (2)"}</definedName>
    <definedName name="qqqqq" localSheetId="5" hidden="1">{"all",#N/A,FALSE,"Corporate costs";"all",#N/A,FALSE,"Corporate costs (2)"}</definedName>
    <definedName name="qqqqq" hidden="1">{"all",#N/A,FALSE,"Corporate costs";"all",#N/A,FALSE,"Corporate costs (2)"}</definedName>
    <definedName name="qqqqqqq" localSheetId="1" hidden="1">{"all",#N/A,FALSE,"Vs LE";"ALL",#N/A,FALSE,"Summary"}</definedName>
    <definedName name="qqqqqqq" localSheetId="3" hidden="1">{"all",#N/A,FALSE,"Vs LE";"ALL",#N/A,FALSE,"Summary"}</definedName>
    <definedName name="qqqqqqq" localSheetId="4" hidden="1">{"all",#N/A,FALSE,"Vs LE";"ALL",#N/A,FALSE,"Summary"}</definedName>
    <definedName name="qqqqqqq" localSheetId="5" hidden="1">{"all",#N/A,FALSE,"Vs LE";"ALL",#N/A,FALSE,"Summary"}</definedName>
    <definedName name="qqqqqqq" hidden="1">{"all",#N/A,FALSE,"Vs LE";"ALL",#N/A,FALSE,"Summary"}</definedName>
    <definedName name="qqqqqqqqqqqqqqqqqq" localSheetId="1" hidden="1">{"Area1",#N/A,FALSE,"OREWACC";"Area2",#N/A,FALSE,"OREWACC"}</definedName>
    <definedName name="qqqqqqqqqqqqqqqqqq" localSheetId="3" hidden="1">{"Area1",#N/A,FALSE,"OREWACC";"Area2",#N/A,FALSE,"OREWACC"}</definedName>
    <definedName name="qqqqqqqqqqqqqqqqqq" localSheetId="4" hidden="1">{"Area1",#N/A,FALSE,"OREWACC";"Area2",#N/A,FALSE,"OREWACC"}</definedName>
    <definedName name="qqqqqqqqqqqqqqqqqq" localSheetId="5" hidden="1">{"Area1",#N/A,FALSE,"OREWACC";"Area2",#N/A,FALSE,"OREWACC"}</definedName>
    <definedName name="qqqqqqqqqqqqqqqqqq" hidden="1">{"Area1",#N/A,FALSE,"OREWACC";"Area2",#N/A,FALSE,"OREWACC"}</definedName>
    <definedName name="qsqdqwdw" localSheetId="1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qsqdqwdw" localSheetId="3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qsqdqwdw" localSheetId="4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qsqdqwdw" localSheetId="5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qsqdqwdw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qwewmw" localSheetId="1" hidden="1">{"ALL",#N/A,FALSE,"Summary";"ALL",#N/A,FALSE,"Vs LE";"all",#N/A,FALSE,"Targets";"all",#N/A,FALSE,"FLASH";"print calc",#N/A,FALSE,"Calc";"all",#N/A,FALSE,"Corporate costs";"all",#N/A,FALSE,"Corporate costs (2)"}</definedName>
    <definedName name="qwewmw" localSheetId="3" hidden="1">{"ALL",#N/A,FALSE,"Summary";"ALL",#N/A,FALSE,"Vs LE";"all",#N/A,FALSE,"Targets";"all",#N/A,FALSE,"FLASH";"print calc",#N/A,FALSE,"Calc";"all",#N/A,FALSE,"Corporate costs";"all",#N/A,FALSE,"Corporate costs (2)"}</definedName>
    <definedName name="qwewmw" localSheetId="4" hidden="1">{"ALL",#N/A,FALSE,"Summary";"ALL",#N/A,FALSE,"Vs LE";"all",#N/A,FALSE,"Targets";"all",#N/A,FALSE,"FLASH";"print calc",#N/A,FALSE,"Calc";"all",#N/A,FALSE,"Corporate costs";"all",#N/A,FALSE,"Corporate costs (2)"}</definedName>
    <definedName name="qwewmw" localSheetId="5" hidden="1">{"ALL",#N/A,FALSE,"Summary";"ALL",#N/A,FALSE,"Vs LE";"all",#N/A,FALSE,"Targets";"all",#N/A,FALSE,"FLASH";"print calc",#N/A,FALSE,"Calc";"all",#N/A,FALSE,"Corporate costs";"all",#N/A,FALSE,"Corporate costs (2)"}</definedName>
    <definedName name="qwewmw" hidden="1">{"ALL",#N/A,FALSE,"Summary";"ALL",#N/A,FALSE,"Vs LE";"all",#N/A,FALSE,"Targets";"all",#N/A,FALSE,"FLASH";"print calc",#N/A,FALSE,"Calc";"all",#N/A,FALSE,"Corporate costs";"all",#N/A,FALSE,"Corporate costs (2)"}</definedName>
    <definedName name="RCArea" hidden="1">#REF!</definedName>
    <definedName name="refo" localSheetId="1" hidden="1">{"all",#N/A,FALSE,"Corporate costs";"all",#N/A,FALSE,"Corporate costs (2)"}</definedName>
    <definedName name="refo" localSheetId="3" hidden="1">{"all",#N/A,FALSE,"Corporate costs";"all",#N/A,FALSE,"Corporate costs (2)"}</definedName>
    <definedName name="refo" localSheetId="4" hidden="1">{"all",#N/A,FALSE,"Corporate costs";"all",#N/A,FALSE,"Corporate costs (2)"}</definedName>
    <definedName name="refo" localSheetId="5" hidden="1">{"all",#N/A,FALSE,"Corporate costs";"all",#N/A,FALSE,"Corporate costs (2)"}</definedName>
    <definedName name="refo" hidden="1">{"all",#N/A,FALSE,"Corporate costs";"all",#N/A,FALSE,"Corporate costs (2)"}</definedName>
    <definedName name="ReportGroup" hidden="1">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" localSheetId="1" hidden="1">{"ALL",#N/A,FALSE,"Summary";"ALL",#N/A,FALSE,"Vs LE";"all",#N/A,FALSE,"Targets";"all",#N/A,FALSE,"FLASH";"print calc",#N/A,FALSE,"Calc";"all",#N/A,FALSE,"Corporate costs";"all",#N/A,FALSE,"Corporate costs (2)"}</definedName>
    <definedName name="Risks" localSheetId="3" hidden="1">{"ALL",#N/A,FALSE,"Summary";"ALL",#N/A,FALSE,"Vs LE";"all",#N/A,FALSE,"Targets";"all",#N/A,FALSE,"FLASH";"print calc",#N/A,FALSE,"Calc";"all",#N/A,FALSE,"Corporate costs";"all",#N/A,FALSE,"Corporate costs (2)"}</definedName>
    <definedName name="Risks" localSheetId="4" hidden="1">{"ALL",#N/A,FALSE,"Summary";"ALL",#N/A,FALSE,"Vs LE";"all",#N/A,FALSE,"Targets";"all",#N/A,FALSE,"FLASH";"print calc",#N/A,FALSE,"Calc";"all",#N/A,FALSE,"Corporate costs";"all",#N/A,FALSE,"Corporate costs (2)"}</definedName>
    <definedName name="Risks" localSheetId="5" hidden="1">{"ALL",#N/A,FALSE,"Summary";"ALL",#N/A,FALSE,"Vs LE";"all",#N/A,FALSE,"Targets";"all",#N/A,FALSE,"FLASH";"print calc",#N/A,FALSE,"Calc";"all",#N/A,FALSE,"Corporate costs";"all",#N/A,FALSE,"Corporate costs (2)"}</definedName>
    <definedName name="Risks" hidden="1">{"ALL",#N/A,FALSE,"Summary";"ALL",#N/A,FALSE,"Vs LE";"all",#N/A,FALSE,"Targets";"all",#N/A,FALSE,"FLASH";"print calc",#N/A,FALSE,"Calc";"all",#N/A,FALSE,"Corporate costs";"all",#N/A,FALSE,"Corporate costs (2)"}</definedName>
    <definedName name="RiskSamplingType" hidden="1">2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ob" localSheetId="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rob" localSheetId="3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rob" localSheetId="4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rob" localSheetId="5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rob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rr" localSheetId="1" hidden="1">{#N/A,#N/A,FALSE,"지침";#N/A,#N/A,FALSE,"환경분석";#N/A,#N/A,FALSE,"Sheet16"}</definedName>
    <definedName name="rr" localSheetId="3" hidden="1">{#N/A,#N/A,FALSE,"지침";#N/A,#N/A,FALSE,"환경분석";#N/A,#N/A,FALSE,"Sheet16"}</definedName>
    <definedName name="rr" localSheetId="4" hidden="1">{#N/A,#N/A,FALSE,"지침";#N/A,#N/A,FALSE,"환경분석";#N/A,#N/A,FALSE,"Sheet16"}</definedName>
    <definedName name="rr" localSheetId="5" hidden="1">{#N/A,#N/A,FALSE,"지침";#N/A,#N/A,FALSE,"환경분석";#N/A,#N/A,FALSE,"Sheet16"}</definedName>
    <definedName name="rr" hidden="1">{#N/A,#N/A,FALSE,"지침";#N/A,#N/A,FALSE,"환경분석";#N/A,#N/A,FALSE,"Sheet16"}</definedName>
    <definedName name="RRRRRRR" localSheetId="1" hidden="1">{"all",#N/A,FALSE,"Corporate costs";"all",#N/A,FALSE,"Corporate costs (2)"}</definedName>
    <definedName name="RRRRRRR" localSheetId="3" hidden="1">{"all",#N/A,FALSE,"Corporate costs";"all",#N/A,FALSE,"Corporate costs (2)"}</definedName>
    <definedName name="RRRRRRR" localSheetId="4" hidden="1">{"all",#N/A,FALSE,"Corporate costs";"all",#N/A,FALSE,"Corporate costs (2)"}</definedName>
    <definedName name="RRRRRRR" localSheetId="5" hidden="1">{"all",#N/A,FALSE,"Corporate costs";"all",#N/A,FALSE,"Corporate costs (2)"}</definedName>
    <definedName name="RRRRRRR" hidden="1">{"all",#N/A,FALSE,"Corporate costs";"all",#N/A,FALSE,"Corporate costs (2)"}</definedName>
    <definedName name="rtrs" localSheetId="1" hidden="1">{#N/A,#N/A,FALSE,"지침";#N/A,#N/A,FALSE,"환경분석";#N/A,#N/A,FALSE,"Sheet16"}</definedName>
    <definedName name="rtrs" localSheetId="3" hidden="1">{#N/A,#N/A,FALSE,"지침";#N/A,#N/A,FALSE,"환경분석";#N/A,#N/A,FALSE,"Sheet16"}</definedName>
    <definedName name="rtrs" localSheetId="4" hidden="1">{#N/A,#N/A,FALSE,"지침";#N/A,#N/A,FALSE,"환경분석";#N/A,#N/A,FALSE,"Sheet16"}</definedName>
    <definedName name="rtrs" localSheetId="5" hidden="1">{#N/A,#N/A,FALSE,"지침";#N/A,#N/A,FALSE,"환경분석";#N/A,#N/A,FALSE,"Sheet16"}</definedName>
    <definedName name="rtrs" hidden="1">{#N/A,#N/A,FALSE,"지침";#N/A,#N/A,FALSE,"환경분석";#N/A,#N/A,FALSE,"Sheet16"}</definedName>
    <definedName name="RUUUUUU" localSheetId="1" hidden="1">{#N/A,#N/A,FALSE,"지침";#N/A,#N/A,FALSE,"환경분석";#N/A,#N/A,FALSE,"Sheet16"}</definedName>
    <definedName name="RUUUUUU" localSheetId="3" hidden="1">{#N/A,#N/A,FALSE,"지침";#N/A,#N/A,FALSE,"환경분석";#N/A,#N/A,FALSE,"Sheet16"}</definedName>
    <definedName name="RUUUUUU" localSheetId="4" hidden="1">{#N/A,#N/A,FALSE,"지침";#N/A,#N/A,FALSE,"환경분석";#N/A,#N/A,FALSE,"Sheet16"}</definedName>
    <definedName name="RUUUUUU" localSheetId="5" hidden="1">{#N/A,#N/A,FALSE,"지침";#N/A,#N/A,FALSE,"환경분석";#N/A,#N/A,FALSE,"Sheet16"}</definedName>
    <definedName name="RUUUUUU" hidden="1">{#N/A,#N/A,FALSE,"지침";#N/A,#N/A,FALSE,"환경분석";#N/A,#N/A,FALSE,"Sheet16"}</definedName>
    <definedName name="s" localSheetId="1" hidden="1">{"print calc",#N/A,FALSE,"Sheet1"}</definedName>
    <definedName name="s" localSheetId="3" hidden="1">{"print calc",#N/A,FALSE,"Sheet1"}</definedName>
    <definedName name="s" localSheetId="4" hidden="1">{"print calc",#N/A,FALSE,"Sheet1"}</definedName>
    <definedName name="s" localSheetId="5" hidden="1">{"print calc",#N/A,FALSE,"Sheet1"}</definedName>
    <definedName name="s" hidden="1">{"print calc",#N/A,FALSE,"Sheet1"}</definedName>
    <definedName name="sa" localSheetId="1" hidden="1">{#N/A,#N/A,FALSE,"지침";#N/A,#N/A,FALSE,"환경분석";#N/A,#N/A,FALSE,"Sheet16"}</definedName>
    <definedName name="sa" localSheetId="3" hidden="1">{#N/A,#N/A,FALSE,"지침";#N/A,#N/A,FALSE,"환경분석";#N/A,#N/A,FALSE,"Sheet16"}</definedName>
    <definedName name="sa" localSheetId="4" hidden="1">{#N/A,#N/A,FALSE,"지침";#N/A,#N/A,FALSE,"환경분석";#N/A,#N/A,FALSE,"Sheet16"}</definedName>
    <definedName name="sa" localSheetId="5" hidden="1">{#N/A,#N/A,FALSE,"지침";#N/A,#N/A,FALSE,"환경분석";#N/A,#N/A,FALSE,"Sheet16"}</definedName>
    <definedName name="sa" hidden="1">{#N/A,#N/A,FALSE,"지침";#N/A,#N/A,FALSE,"환경분석";#N/A,#N/A,FALSE,"Sheet16"}</definedName>
    <definedName name="sacf" localSheetId="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sacf" localSheetId="3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sacf" localSheetId="4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sacf" localSheetId="5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sacf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sadadda" localSheetId="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sadadda" localSheetId="3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sadadda" localSheetId="4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sadadda" localSheetId="5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sadadda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safdsafsed" localSheetId="1" hidden="1">{#N/A,#N/A,FALSE,"지침";#N/A,#N/A,FALSE,"환경분석";#N/A,#N/A,FALSE,"Sheet16"}</definedName>
    <definedName name="safdsafsed" localSheetId="3" hidden="1">{#N/A,#N/A,FALSE,"지침";#N/A,#N/A,FALSE,"환경분석";#N/A,#N/A,FALSE,"Sheet16"}</definedName>
    <definedName name="safdsafsed" localSheetId="4" hidden="1">{#N/A,#N/A,FALSE,"지침";#N/A,#N/A,FALSE,"환경분석";#N/A,#N/A,FALSE,"Sheet16"}</definedName>
    <definedName name="safdsafsed" localSheetId="5" hidden="1">{#N/A,#N/A,FALSE,"지침";#N/A,#N/A,FALSE,"환경분석";#N/A,#N/A,FALSE,"Sheet16"}</definedName>
    <definedName name="safdsafsed" hidden="1">{#N/A,#N/A,FALSE,"지침";#N/A,#N/A,FALSE,"환경분석";#N/A,#N/A,FALSE,"Sheet16"}</definedName>
    <definedName name="SAP" localSheetId="1" hidden="1">{"all",#N/A,FALSE,"FLASH"}</definedName>
    <definedName name="SAP" localSheetId="3" hidden="1">{"all",#N/A,FALSE,"FLASH"}</definedName>
    <definedName name="SAP" localSheetId="4" hidden="1">{"all",#N/A,FALSE,"FLASH"}</definedName>
    <definedName name="SAP" localSheetId="5" hidden="1">{"all",#N/A,FALSE,"FLASH"}</definedName>
    <definedName name="SAP" hidden="1">{"all",#N/A,FALSE,"FLASH"}</definedName>
    <definedName name="SAPBEXhrIndnt" hidden="1">1</definedName>
    <definedName name="SAPBEXrevision" hidden="1">1</definedName>
    <definedName name="SAPBEXsysID" hidden="1">"ABP"</definedName>
    <definedName name="SAPBEXwbID" hidden="1">"3YQJ5U9PMKDRTCTRPSJQ2XVEE"</definedName>
    <definedName name="SAPsysID" hidden="1">"708C5W7SBKP804JT78WJ0JNKI"</definedName>
    <definedName name="SAPwbID" hidden="1">"ARS"</definedName>
    <definedName name="sdfsd" hidden="1">#REF!</definedName>
    <definedName name="sdfsdfsdfs" localSheetId="1" hidden="1">{#N/A,#N/A,FALSE,"지침";#N/A,#N/A,FALSE,"환경분석";#N/A,#N/A,FALSE,"Sheet16"}</definedName>
    <definedName name="sdfsdfsdfs" localSheetId="3" hidden="1">{#N/A,#N/A,FALSE,"지침";#N/A,#N/A,FALSE,"환경분석";#N/A,#N/A,FALSE,"Sheet16"}</definedName>
    <definedName name="sdfsdfsdfs" localSheetId="4" hidden="1">{#N/A,#N/A,FALSE,"지침";#N/A,#N/A,FALSE,"환경분석";#N/A,#N/A,FALSE,"Sheet16"}</definedName>
    <definedName name="sdfsdfsdfs" localSheetId="5" hidden="1">{#N/A,#N/A,FALSE,"지침";#N/A,#N/A,FALSE,"환경분석";#N/A,#N/A,FALSE,"Sheet16"}</definedName>
    <definedName name="sdfsdfsdfs" hidden="1">{#N/A,#N/A,FALSE,"지침";#N/A,#N/A,FALSE,"환경분석";#N/A,#N/A,FALSE,"Sheet16"}</definedName>
    <definedName name="Sep_P3" localSheetId="1" hidden="1">{#N/A,#N/A,FALSE,"지침";#N/A,#N/A,FALSE,"환경분석";#N/A,#N/A,FALSE,"Sheet16"}</definedName>
    <definedName name="Sep_P3" localSheetId="3" hidden="1">{#N/A,#N/A,FALSE,"지침";#N/A,#N/A,FALSE,"환경분석";#N/A,#N/A,FALSE,"Sheet16"}</definedName>
    <definedName name="Sep_P3" localSheetId="4" hidden="1">{#N/A,#N/A,FALSE,"지침";#N/A,#N/A,FALSE,"환경분석";#N/A,#N/A,FALSE,"Sheet16"}</definedName>
    <definedName name="Sep_P3" localSheetId="5" hidden="1">{#N/A,#N/A,FALSE,"지침";#N/A,#N/A,FALSE,"환경분석";#N/A,#N/A,FALSE,"Sheet16"}</definedName>
    <definedName name="Sep_P3" hidden="1">{#N/A,#N/A,FALSE,"지침";#N/A,#N/A,FALSE,"환경분석";#N/A,#N/A,FALSE,"Sheet16"}</definedName>
    <definedName name="sfsdf" localSheetId="1" hidden="1">{"all",#N/A,FALSE,"Corporate costs";"all",#N/A,FALSE,"Corporate costs (2)"}</definedName>
    <definedName name="sfsdf" localSheetId="3" hidden="1">{"all",#N/A,FALSE,"Corporate costs";"all",#N/A,FALSE,"Corporate costs (2)"}</definedName>
    <definedName name="sfsdf" localSheetId="4" hidden="1">{"all",#N/A,FALSE,"Corporate costs";"all",#N/A,FALSE,"Corporate costs (2)"}</definedName>
    <definedName name="sfsdf" localSheetId="5" hidden="1">{"all",#N/A,FALSE,"Corporate costs";"all",#N/A,FALSE,"Corporate costs (2)"}</definedName>
    <definedName name="sfsdf" hidden="1">{"all",#N/A,FALSE,"Corporate costs";"all",#N/A,FALSE,"Corporate costs (2)"}</definedName>
    <definedName name="sheet" localSheetId="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sheet" localSheetId="3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sheet" localSheetId="4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sheet" localSheetId="5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sheet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sheet2" localSheetId="1" hidden="1">{"all",#N/A,FALSE,"Corporate costs";"all",#N/A,FALSE,"Corporate costs (2)"}</definedName>
    <definedName name="sheet2" localSheetId="3" hidden="1">{"all",#N/A,FALSE,"Corporate costs";"all",#N/A,FALSE,"Corporate costs (2)"}</definedName>
    <definedName name="sheet2" localSheetId="4" hidden="1">{"all",#N/A,FALSE,"Corporate costs";"all",#N/A,FALSE,"Corporate costs (2)"}</definedName>
    <definedName name="sheet2" localSheetId="5" hidden="1">{"all",#N/A,FALSE,"Corporate costs";"all",#N/A,FALSE,"Corporate costs (2)"}</definedName>
    <definedName name="sheet2" hidden="1">{"all",#N/A,FALSE,"Corporate costs";"all",#N/A,FALSE,"Corporate costs (2)"}</definedName>
    <definedName name="Soft" localSheetId="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Soft" localSheetId="3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Soft" localSheetId="4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Soft" localSheetId="5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Soft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SpecialPrice" hidden="1">#REF!</definedName>
    <definedName name="ss" localSheetId="1" hidden="1">{"ALL",#N/A,FALSE,"Summary";"ALL",#N/A,FALSE,"Vs LE";"all",#N/A,FALSE,"Targets";"all",#N/A,FALSE,"FLASH";"print calc",#N/A,FALSE,"Calc";"all",#N/A,FALSE,"Corporate costs";"all",#N/A,FALSE,"Corporate costs (2)"}</definedName>
    <definedName name="ss" localSheetId="3" hidden="1">{"ALL",#N/A,FALSE,"Summary";"ALL",#N/A,FALSE,"Vs LE";"all",#N/A,FALSE,"Targets";"all",#N/A,FALSE,"FLASH";"print calc",#N/A,FALSE,"Calc";"all",#N/A,FALSE,"Corporate costs";"all",#N/A,FALSE,"Corporate costs (2)"}</definedName>
    <definedName name="ss" localSheetId="4" hidden="1">{"ALL",#N/A,FALSE,"Summary";"ALL",#N/A,FALSE,"Vs LE";"all",#N/A,FALSE,"Targets";"all",#N/A,FALSE,"FLASH";"print calc",#N/A,FALSE,"Calc";"all",#N/A,FALSE,"Corporate costs";"all",#N/A,FALSE,"Corporate costs (2)"}</definedName>
    <definedName name="ss" localSheetId="5" hidden="1">{"ALL",#N/A,FALSE,"Summary";"ALL",#N/A,FALSE,"Vs LE";"all",#N/A,FALSE,"Targets";"all",#N/A,FALSE,"FLASH";"print calc",#N/A,FALSE,"Calc";"all",#N/A,FALSE,"Corporate costs";"all",#N/A,FALSE,"Corporate costs (2)"}</definedName>
    <definedName name="ss" hidden="1">{"ALL",#N/A,FALSE,"Summary";"ALL",#N/A,FALSE,"Vs LE";"all",#N/A,FALSE,"Targets";"all",#N/A,FALSE,"FLASH";"print calc",#N/A,FALSE,"Calc";"all",#N/A,FALSE,"Corporate costs";"all",#N/A,FALSE,"Corporate costs (2)"}</definedName>
    <definedName name="ssss" localSheetId="1" hidden="1">{#N/A,#N/A,FALSE,"지침";#N/A,#N/A,FALSE,"환경분석";#N/A,#N/A,FALSE,"Sheet16"}</definedName>
    <definedName name="ssss" localSheetId="3" hidden="1">{#N/A,#N/A,FALSE,"지침";#N/A,#N/A,FALSE,"환경분석";#N/A,#N/A,FALSE,"Sheet16"}</definedName>
    <definedName name="ssss" localSheetId="4" hidden="1">{#N/A,#N/A,FALSE,"지침";#N/A,#N/A,FALSE,"환경분석";#N/A,#N/A,FALSE,"Sheet16"}</definedName>
    <definedName name="ssss" localSheetId="5" hidden="1">{#N/A,#N/A,FALSE,"지침";#N/A,#N/A,FALSE,"환경분석";#N/A,#N/A,FALSE,"Sheet16"}</definedName>
    <definedName name="ssss" hidden="1">{#N/A,#N/A,FALSE,"지침";#N/A,#N/A,FALSE,"환경분석";#N/A,#N/A,FALSE,"Sheet16"}</definedName>
    <definedName name="sum" localSheetId="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sum" localSheetId="3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sum" localSheetId="4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sum" localSheetId="5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sum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swqsdwqdqw" localSheetId="1" hidden="1">{"fygrow",#N/A,TRUE,"Full Year";"FYalloc",#N/A,TRUE,"Full Year";"hygrow",#N/A,TRUE,"HY Org grow";"hyalloc",#N/A,TRUE,"Half Year"}</definedName>
    <definedName name="swqsdwqdqw" localSheetId="3" hidden="1">{"fygrow",#N/A,TRUE,"Full Year";"FYalloc",#N/A,TRUE,"Full Year";"hygrow",#N/A,TRUE,"HY Org grow";"hyalloc",#N/A,TRUE,"Half Year"}</definedName>
    <definedName name="swqsdwqdqw" localSheetId="4" hidden="1">{"fygrow",#N/A,TRUE,"Full Year";"FYalloc",#N/A,TRUE,"Full Year";"hygrow",#N/A,TRUE,"HY Org grow";"hyalloc",#N/A,TRUE,"Half Year"}</definedName>
    <definedName name="swqsdwqdqw" localSheetId="5" hidden="1">{"fygrow",#N/A,TRUE,"Full Year";"FYalloc",#N/A,TRUE,"Full Year";"hygrow",#N/A,TRUE,"HY Org grow";"hyalloc",#N/A,TRUE,"Half Year"}</definedName>
    <definedName name="swqsdwqdqw" hidden="1">{"fygrow",#N/A,TRUE,"Full Year";"FYalloc",#N/A,TRUE,"Full Year";"hygrow",#N/A,TRUE,"HY Org grow";"hyalloc",#N/A,TRUE,"Half Year"}</definedName>
    <definedName name="t" localSheetId="1" hidden="1">{"ALL",#N/A,FALSE,"Summary";"ALL",#N/A,FALSE,"Vs LE";"all",#N/A,FALSE,"Targets";"all",#N/A,FALSE,"FLASH";"print calc",#N/A,FALSE,"Calc";"all",#N/A,FALSE,"Corporate costs";"all",#N/A,FALSE,"Corporate costs (2)"}</definedName>
    <definedName name="t" localSheetId="3" hidden="1">{"ALL",#N/A,FALSE,"Summary";"ALL",#N/A,FALSE,"Vs LE";"all",#N/A,FALSE,"Targets";"all",#N/A,FALSE,"FLASH";"print calc",#N/A,FALSE,"Calc";"all",#N/A,FALSE,"Corporate costs";"all",#N/A,FALSE,"Corporate costs (2)"}</definedName>
    <definedName name="t" localSheetId="4" hidden="1">{"ALL",#N/A,FALSE,"Summary";"ALL",#N/A,FALSE,"Vs LE";"all",#N/A,FALSE,"Targets";"all",#N/A,FALSE,"FLASH";"print calc",#N/A,FALSE,"Calc";"all",#N/A,FALSE,"Corporate costs";"all",#N/A,FALSE,"Corporate costs (2)"}</definedName>
    <definedName name="t" localSheetId="5" hidden="1">{"ALL",#N/A,FALSE,"Summary";"ALL",#N/A,FALSE,"Vs LE";"all",#N/A,FALSE,"Targets";"all",#N/A,FALSE,"FLASH";"print calc",#N/A,FALSE,"Calc";"all",#N/A,FALSE,"Corporate costs";"all",#N/A,FALSE,"Corporate costs (2)"}</definedName>
    <definedName name="t" hidden="1">{"ALL",#N/A,FALSE,"Summary";"ALL",#N/A,FALSE,"Vs LE";"all",#N/A,FALSE,"Targets";"all",#N/A,FALSE,"FLASH";"print calc",#N/A,FALSE,"Calc";"all",#N/A,FALSE,"Corporate costs";"all",#N/A,FALSE,"Corporate costs (2)"}</definedName>
    <definedName name="tbl_ProdInfo" hidden="1">#REF!</definedName>
    <definedName name="Test" localSheetId="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Test" localSheetId="3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Test" localSheetId="4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Test" localSheetId="5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Test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TEUEUE" localSheetId="1" hidden="1">{#N/A,#N/A,FALSE,"지침";#N/A,#N/A,FALSE,"환경분석";#N/A,#N/A,FALSE,"Sheet16"}</definedName>
    <definedName name="TEUEUE" localSheetId="3" hidden="1">{#N/A,#N/A,FALSE,"지침";#N/A,#N/A,FALSE,"환경분석";#N/A,#N/A,FALSE,"Sheet16"}</definedName>
    <definedName name="TEUEUE" localSheetId="4" hidden="1">{#N/A,#N/A,FALSE,"지침";#N/A,#N/A,FALSE,"환경분석";#N/A,#N/A,FALSE,"Sheet16"}</definedName>
    <definedName name="TEUEUE" localSheetId="5" hidden="1">{#N/A,#N/A,FALSE,"지침";#N/A,#N/A,FALSE,"환경분석";#N/A,#N/A,FALSE,"Sheet16"}</definedName>
    <definedName name="TEUEUE" hidden="1">{#N/A,#N/A,FALSE,"지침";#N/A,#N/A,FALSE,"환경분석";#N/A,#N/A,FALSE,"Sheet16"}</definedName>
    <definedName name="TextRefCopyRangeCount" hidden="1">2</definedName>
    <definedName name="th" hidden="1">#REF!</definedName>
    <definedName name="three" localSheetId="1" hidden="1">{"Landscape Detail CF",#N/A,FALSE,"Cash Flow for the 3 m-e 8.31";"Portrait Detail CF",#N/A,FALSE,"Cash Flow for the 3 m-e 8.31"}</definedName>
    <definedName name="three" localSheetId="3" hidden="1">{"Landscape Detail CF",#N/A,FALSE,"Cash Flow for the 3 m-e 8.31";"Portrait Detail CF",#N/A,FALSE,"Cash Flow for the 3 m-e 8.31"}</definedName>
    <definedName name="three" localSheetId="4" hidden="1">{"Landscape Detail CF",#N/A,FALSE,"Cash Flow for the 3 m-e 8.31";"Portrait Detail CF",#N/A,FALSE,"Cash Flow for the 3 m-e 8.31"}</definedName>
    <definedName name="three" localSheetId="5" hidden="1">{"Landscape Detail CF",#N/A,FALSE,"Cash Flow for the 3 m-e 8.31";"Portrait Detail CF",#N/A,FALSE,"Cash Flow for the 3 m-e 8.31"}</definedName>
    <definedName name="three" hidden="1">{"Landscape Detail CF",#N/A,FALSE,"Cash Flow for the 3 m-e 8.31";"Portrait Detail CF",#N/A,FALSE,"Cash Flow for the 3 m-e 8.31"}</definedName>
    <definedName name="Tom" localSheetId="1" hidden="1">{"all",#N/A,FALSE,"Corporate costs";"all",#N/A,FALSE,"Corporate costs (2)"}</definedName>
    <definedName name="Tom" localSheetId="3" hidden="1">{"all",#N/A,FALSE,"Corporate costs";"all",#N/A,FALSE,"Corporate costs (2)"}</definedName>
    <definedName name="Tom" localSheetId="4" hidden="1">{"all",#N/A,FALSE,"Corporate costs";"all",#N/A,FALSE,"Corporate costs (2)"}</definedName>
    <definedName name="Tom" localSheetId="5" hidden="1">{"all",#N/A,FALSE,"Corporate costs";"all",#N/A,FALSE,"Corporate costs (2)"}</definedName>
    <definedName name="Tom" hidden="1">{"all",#N/A,FALSE,"Corporate costs";"all",#N/A,FALSE,"Corporate costs (2)"}</definedName>
    <definedName name="TSR" localSheetId="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TSR" localSheetId="3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TSR" localSheetId="4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TSR" localSheetId="5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TSR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ttt" localSheetId="1" hidden="1">{"ALL",#N/A,FALSE,"Summary";"ALL",#N/A,FALSE,"Vs LE";"all",#N/A,FALSE,"Targets";"all",#N/A,FALSE,"FLASH";"print calc",#N/A,FALSE,"Calc";"all",#N/A,FALSE,"Corporate costs";"all",#N/A,FALSE,"Corporate costs (2)"}</definedName>
    <definedName name="ttt" localSheetId="3" hidden="1">{"ALL",#N/A,FALSE,"Summary";"ALL",#N/A,FALSE,"Vs LE";"all",#N/A,FALSE,"Targets";"all",#N/A,FALSE,"FLASH";"print calc",#N/A,FALSE,"Calc";"all",#N/A,FALSE,"Corporate costs";"all",#N/A,FALSE,"Corporate costs (2)"}</definedName>
    <definedName name="ttt" localSheetId="4" hidden="1">{"ALL",#N/A,FALSE,"Summary";"ALL",#N/A,FALSE,"Vs LE";"all",#N/A,FALSE,"Targets";"all",#N/A,FALSE,"FLASH";"print calc",#N/A,FALSE,"Calc";"all",#N/A,FALSE,"Corporate costs";"all",#N/A,FALSE,"Corporate costs (2)"}</definedName>
    <definedName name="ttt" localSheetId="5" hidden="1">{"ALL",#N/A,FALSE,"Summary";"ALL",#N/A,FALSE,"Vs LE";"all",#N/A,FALSE,"Targets";"all",#N/A,FALSE,"FLASH";"print calc",#N/A,FALSE,"Calc";"all",#N/A,FALSE,"Corporate costs";"all",#N/A,FALSE,"Corporate costs (2)"}</definedName>
    <definedName name="ttt" hidden="1">{"ALL",#N/A,FALSE,"Summary";"ALL",#N/A,FALSE,"Vs LE";"all",#N/A,FALSE,"Targets";"all",#N/A,FALSE,"FLASH";"print calc",#N/A,FALSE,"Calc";"all",#N/A,FALSE,"Corporate costs";"all",#N/A,FALSE,"Corporate costs (2)"}</definedName>
    <definedName name="ttttt" localSheetId="1" hidden="1">{#N/A,#N/A,FALSE,"지침";#N/A,#N/A,FALSE,"환경분석";#N/A,#N/A,FALSE,"Sheet16"}</definedName>
    <definedName name="ttttt" localSheetId="3" hidden="1">{#N/A,#N/A,FALSE,"지침";#N/A,#N/A,FALSE,"환경분석";#N/A,#N/A,FALSE,"Sheet16"}</definedName>
    <definedName name="ttttt" localSheetId="4" hidden="1">{#N/A,#N/A,FALSE,"지침";#N/A,#N/A,FALSE,"환경분석";#N/A,#N/A,FALSE,"Sheet16"}</definedName>
    <definedName name="ttttt" localSheetId="5" hidden="1">{#N/A,#N/A,FALSE,"지침";#N/A,#N/A,FALSE,"환경분석";#N/A,#N/A,FALSE,"Sheet16"}</definedName>
    <definedName name="ttttt" hidden="1">{#N/A,#N/A,FALSE,"지침";#N/A,#N/A,FALSE,"환경분석";#N/A,#N/A,FALSE,"Sheet16"}</definedName>
    <definedName name="TTTTTT" localSheetId="1" hidden="1">{#N/A,#N/A,FALSE,"지침";#N/A,#N/A,FALSE,"환경분석";#N/A,#N/A,FALSE,"Sheet16"}</definedName>
    <definedName name="TTTTTT" localSheetId="3" hidden="1">{#N/A,#N/A,FALSE,"지침";#N/A,#N/A,FALSE,"환경분석";#N/A,#N/A,FALSE,"Sheet16"}</definedName>
    <definedName name="TTTTTT" localSheetId="4" hidden="1">{#N/A,#N/A,FALSE,"지침";#N/A,#N/A,FALSE,"환경분석";#N/A,#N/A,FALSE,"Sheet16"}</definedName>
    <definedName name="TTTTTT" localSheetId="5" hidden="1">{#N/A,#N/A,FALSE,"지침";#N/A,#N/A,FALSE,"환경분석";#N/A,#N/A,FALSE,"Sheet16"}</definedName>
    <definedName name="TTTTTT" hidden="1">{#N/A,#N/A,FALSE,"지침";#N/A,#N/A,FALSE,"환경분석";#N/A,#N/A,FALSE,"Sheet16"}</definedName>
    <definedName name="TTTTTTT" localSheetId="1" hidden="1">{#N/A,#N/A,FALSE,"지침";#N/A,#N/A,FALSE,"환경분석";#N/A,#N/A,FALSE,"Sheet16"}</definedName>
    <definedName name="TTTTTTT" localSheetId="3" hidden="1">{#N/A,#N/A,FALSE,"지침";#N/A,#N/A,FALSE,"환경분석";#N/A,#N/A,FALSE,"Sheet16"}</definedName>
    <definedName name="TTTTTTT" localSheetId="4" hidden="1">{#N/A,#N/A,FALSE,"지침";#N/A,#N/A,FALSE,"환경분석";#N/A,#N/A,FALSE,"Sheet16"}</definedName>
    <definedName name="TTTTTTT" localSheetId="5" hidden="1">{#N/A,#N/A,FALSE,"지침";#N/A,#N/A,FALSE,"환경분석";#N/A,#N/A,FALSE,"Sheet16"}</definedName>
    <definedName name="TTTTTTT" hidden="1">{#N/A,#N/A,FALSE,"지침";#N/A,#N/A,FALSE,"환경분석";#N/A,#N/A,FALSE,"Sheet16"}</definedName>
    <definedName name="two" localSheetId="1" hidden="1">{"Landscape Detail CF",#N/A,FALSE,"Cash Flow for the 3 m-e 8.31";"Portrait Detail CF",#N/A,FALSE,"Cash Flow for the 3 m-e 8.31"}</definedName>
    <definedName name="two" localSheetId="3" hidden="1">{"Landscape Detail CF",#N/A,FALSE,"Cash Flow for the 3 m-e 8.31";"Portrait Detail CF",#N/A,FALSE,"Cash Flow for the 3 m-e 8.31"}</definedName>
    <definedName name="two" localSheetId="4" hidden="1">{"Landscape Detail CF",#N/A,FALSE,"Cash Flow for the 3 m-e 8.31";"Portrait Detail CF",#N/A,FALSE,"Cash Flow for the 3 m-e 8.31"}</definedName>
    <definedName name="two" localSheetId="5" hidden="1">{"Landscape Detail CF",#N/A,FALSE,"Cash Flow for the 3 m-e 8.31";"Portrait Detail CF",#N/A,FALSE,"Cash Flow for the 3 m-e 8.31"}</definedName>
    <definedName name="two" hidden="1">{"Landscape Detail CF",#N/A,FALSE,"Cash Flow for the 3 m-e 8.31";"Portrait Detail CF",#N/A,FALSE,"Cash Flow for the 3 m-e 8.31"}</definedName>
    <definedName name="UUUUUUU" localSheetId="1" hidden="1">{#N/A,#N/A,FALSE,"지침";#N/A,#N/A,FALSE,"환경분석";#N/A,#N/A,FALSE,"Sheet16"}</definedName>
    <definedName name="UUUUUUU" localSheetId="3" hidden="1">{#N/A,#N/A,FALSE,"지침";#N/A,#N/A,FALSE,"환경분석";#N/A,#N/A,FALSE,"Sheet16"}</definedName>
    <definedName name="UUUUUUU" localSheetId="4" hidden="1">{#N/A,#N/A,FALSE,"지침";#N/A,#N/A,FALSE,"환경분석";#N/A,#N/A,FALSE,"Sheet16"}</definedName>
    <definedName name="UUUUUUU" localSheetId="5" hidden="1">{#N/A,#N/A,FALSE,"지침";#N/A,#N/A,FALSE,"환경분석";#N/A,#N/A,FALSE,"Sheet16"}</definedName>
    <definedName name="UUUUUUU" hidden="1">{#N/A,#N/A,FALSE,"지침";#N/A,#N/A,FALSE,"환경분석";#N/A,#N/A,FALSE,"Sheet16"}</definedName>
    <definedName name="vhjk" localSheetId="1" hidden="1">{"ALL",#N/A,FALSE,"Summary";"ALL",#N/A,FALSE,"Vs LE";"all",#N/A,FALSE,"Targets";"all",#N/A,FALSE,"FLASH";"print calc",#N/A,FALSE,"Calc";"all",#N/A,FALSE,"Corporate costs";"all",#N/A,FALSE,"Corporate costs (2)"}</definedName>
    <definedName name="vhjk" localSheetId="3" hidden="1">{"ALL",#N/A,FALSE,"Summary";"ALL",#N/A,FALSE,"Vs LE";"all",#N/A,FALSE,"Targets";"all",#N/A,FALSE,"FLASH";"print calc",#N/A,FALSE,"Calc";"all",#N/A,FALSE,"Corporate costs";"all",#N/A,FALSE,"Corporate costs (2)"}</definedName>
    <definedName name="vhjk" localSheetId="4" hidden="1">{"ALL",#N/A,FALSE,"Summary";"ALL",#N/A,FALSE,"Vs LE";"all",#N/A,FALSE,"Targets";"all",#N/A,FALSE,"FLASH";"print calc",#N/A,FALSE,"Calc";"all",#N/A,FALSE,"Corporate costs";"all",#N/A,FALSE,"Corporate costs (2)"}</definedName>
    <definedName name="vhjk" localSheetId="5" hidden="1">{"ALL",#N/A,FALSE,"Summary";"ALL",#N/A,FALSE,"Vs LE";"all",#N/A,FALSE,"Targets";"all",#N/A,FALSE,"FLASH";"print calc",#N/A,FALSE,"Calc";"all",#N/A,FALSE,"Corporate costs";"all",#N/A,FALSE,"Corporate costs (2)"}</definedName>
    <definedName name="vhjk" hidden="1">{"ALL",#N/A,FALSE,"Summary";"ALL",#N/A,FALSE,"Vs LE";"all",#N/A,FALSE,"Targets";"all",#N/A,FALSE,"FLASH";"print calc",#N/A,FALSE,"Calc";"all",#N/A,FALSE,"Corporate costs";"all",#N/A,FALSE,"Corporate costs (2)"}</definedName>
    <definedName name="VRC" localSheetId="1" hidden="1">{"Area1",#N/A,FALSE,"OREWACC";"Area2",#N/A,FALSE,"OREWACC"}</definedName>
    <definedName name="VRC" localSheetId="3" hidden="1">{"Area1",#N/A,FALSE,"OREWACC";"Area2",#N/A,FALSE,"OREWACC"}</definedName>
    <definedName name="VRC" localSheetId="4" hidden="1">{"Area1",#N/A,FALSE,"OREWACC";"Area2",#N/A,FALSE,"OREWACC"}</definedName>
    <definedName name="VRC" localSheetId="5" hidden="1">{"Area1",#N/A,FALSE,"OREWACC";"Area2",#N/A,FALSE,"OREWACC"}</definedName>
    <definedName name="VRC" hidden="1">{"Area1",#N/A,FALSE,"OREWACC";"Area2",#N/A,FALSE,"OREWACC"}</definedName>
    <definedName name="Waterfall_NSV" localSheetId="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Waterfall_NSV" localSheetId="3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Waterfall_NSV" localSheetId="4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Waterfall_NSV" localSheetId="5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Waterfall_NSV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wdvfxd" localSheetId="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wdvfxd" localSheetId="3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wdvfxd" localSheetId="4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wdvfxd" localSheetId="5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wdvfxd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WFT" localSheetId="1" hidden="1">{"Area1",#N/A,FALSE,"OREWACC";"Area2",#N/A,FALSE,"OREWACC"}</definedName>
    <definedName name="WFT" localSheetId="3" hidden="1">{"Area1",#N/A,FALSE,"OREWACC";"Area2",#N/A,FALSE,"OREWACC"}</definedName>
    <definedName name="WFT" localSheetId="4" hidden="1">{"Area1",#N/A,FALSE,"OREWACC";"Area2",#N/A,FALSE,"OREWACC"}</definedName>
    <definedName name="WFT" localSheetId="5" hidden="1">{"Area1",#N/A,FALSE,"OREWACC";"Area2",#N/A,FALSE,"OREWACC"}</definedName>
    <definedName name="WFT" hidden="1">{"Area1",#N/A,FALSE,"OREWACC";"Area2",#N/A,FALSE,"OREWACC"}</definedName>
    <definedName name="wkrp" localSheetId="1" hidden="1">{"Area1",#N/A,FALSE,"OREWACC";"Area2",#N/A,FALSE,"OREWACC"}</definedName>
    <definedName name="wkrp" localSheetId="3" hidden="1">{"Area1",#N/A,FALSE,"OREWACC";"Area2",#N/A,FALSE,"OREWACC"}</definedName>
    <definedName name="wkrp" localSheetId="4" hidden="1">{"Area1",#N/A,FALSE,"OREWACC";"Area2",#N/A,FALSE,"OREWACC"}</definedName>
    <definedName name="wkrp" localSheetId="5" hidden="1">{"Area1",#N/A,FALSE,"OREWACC";"Area2",#N/A,FALSE,"OREWACC"}</definedName>
    <definedName name="wkrp" hidden="1">{"Area1",#N/A,FALSE,"OREWACC";"Area2",#N/A,FALSE,"OREWACC"}</definedName>
    <definedName name="wr" localSheetId="1" hidden="1">{#N/A,#N/A,FALSE,"지침";#N/A,#N/A,FALSE,"환경분석";#N/A,#N/A,FALSE,"Sheet16"}</definedName>
    <definedName name="wr" localSheetId="3" hidden="1">{#N/A,#N/A,FALSE,"지침";#N/A,#N/A,FALSE,"환경분석";#N/A,#N/A,FALSE,"Sheet16"}</definedName>
    <definedName name="wr" localSheetId="4" hidden="1">{#N/A,#N/A,FALSE,"지침";#N/A,#N/A,FALSE,"환경분석";#N/A,#N/A,FALSE,"Sheet16"}</definedName>
    <definedName name="wr" localSheetId="5" hidden="1">{#N/A,#N/A,FALSE,"지침";#N/A,#N/A,FALSE,"환경분석";#N/A,#N/A,FALSE,"Sheet16"}</definedName>
    <definedName name="wr" hidden="1">{#N/A,#N/A,FALSE,"지침";#N/A,#N/A,FALSE,"환경분석";#N/A,#N/A,FALSE,"Sheet16"}</definedName>
    <definedName name="wrd.2._.pagers.3" localSheetId="1" hidden="1">{"Cover",#N/A,FALSE,"Cover";"Summary",#N/A,FALSE,"Summarpage"}</definedName>
    <definedName name="wrd.2._.pagers.3" localSheetId="3" hidden="1">{"Cover",#N/A,FALSE,"Cover";"Summary",#N/A,FALSE,"Summarpage"}</definedName>
    <definedName name="wrd.2._.pagers.3" localSheetId="4" hidden="1">{"Cover",#N/A,FALSE,"Cover";"Summary",#N/A,FALSE,"Summarpage"}</definedName>
    <definedName name="wrd.2._.pagers.3" localSheetId="5" hidden="1">{"Cover",#N/A,FALSE,"Cover";"Summary",#N/A,FALSE,"Summarpage"}</definedName>
    <definedName name="wrd.2._.pagers.3" hidden="1">{"Cover",#N/A,FALSE,"Cover";"Summary",#N/A,FALSE,"Summarpage"}</definedName>
    <definedName name="wrn.1." localSheetId="1" hidden="1">{"cover",#N/A,TRUE,"Cover";"toc1",#N/A,TRUE,"TOC";"ts1",#N/A,TRUE,"Transaction Summary";"ei",#N/A,TRUE,"Earnings Impact";"ad",#N/A,TRUE,"accretion dilution"}</definedName>
    <definedName name="wrn.1." localSheetId="3" hidden="1">{"cover",#N/A,TRUE,"Cover";"toc1",#N/A,TRUE,"TOC";"ts1",#N/A,TRUE,"Transaction Summary";"ei",#N/A,TRUE,"Earnings Impact";"ad",#N/A,TRUE,"accretion dilution"}</definedName>
    <definedName name="wrn.1." localSheetId="4" hidden="1">{"cover",#N/A,TRUE,"Cover";"toc1",#N/A,TRUE,"TOC";"ts1",#N/A,TRUE,"Transaction Summary";"ei",#N/A,TRUE,"Earnings Impact";"ad",#N/A,TRUE,"accretion dilution"}</definedName>
    <definedName name="wrn.1." localSheetId="5" hidden="1">{"cover",#N/A,TRUE,"Cover";"toc1",#N/A,TRUE,"TOC";"ts1",#N/A,TRUE,"Transaction Summary";"ei",#N/A,TRUE,"Earnings Impact";"ad",#N/A,TRUE,"accretion dilution"}</definedName>
    <definedName name="wrn.1." hidden="1">{"cover",#N/A,TRUE,"Cover";"toc1",#N/A,TRUE,"TOC";"ts1",#N/A,TRUE,"Transaction Summary";"ei",#N/A,TRUE,"Earnings Impact";"ad",#N/A,TRUE,"accretion dilution"}</definedName>
    <definedName name="wrn.10." localSheetId="1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" localSheetId="3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" localSheetId="4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" localSheetId="5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1." localSheetId="1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." localSheetId="3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." localSheetId="4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." localSheetId="5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.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2." localSheetId="1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." localSheetId="3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." localSheetId="4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." localSheetId="5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.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3." localSheetId="1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3." localSheetId="3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3." localSheetId="4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3." localSheetId="5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3.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4." localSheetId="1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4." localSheetId="3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4." localSheetId="4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4." localSheetId="5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4.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5." localSheetId="1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5." localSheetId="3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5." localSheetId="4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5." localSheetId="5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5.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6." localSheetId="1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6." localSheetId="3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6." localSheetId="4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6." localSheetId="5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6.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7." localSheetId="1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7." localSheetId="3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7." localSheetId="4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7." localSheetId="5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7.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8." localSheetId="1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8." localSheetId="3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8." localSheetId="4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8." localSheetId="5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8.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9." localSheetId="1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." localSheetId="3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." localSheetId="4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." localSheetId="5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.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2." localSheetId="1" hidden="1">{"cover",#N/A,TRUE,"Cover";"toc1",#N/A,TRUE,"TOC";"ts1",#N/A,TRUE,"Transaction Summary";"ei1",#N/A,TRUE,"Earnings Impact";"ad1",#N/A,TRUE,"accretion dilution"}</definedName>
    <definedName name="wrn.2." localSheetId="3" hidden="1">{"cover",#N/A,TRUE,"Cover";"toc1",#N/A,TRUE,"TOC";"ts1",#N/A,TRUE,"Transaction Summary";"ei1",#N/A,TRUE,"Earnings Impact";"ad1",#N/A,TRUE,"accretion dilution"}</definedName>
    <definedName name="wrn.2." localSheetId="4" hidden="1">{"cover",#N/A,TRUE,"Cover";"toc1",#N/A,TRUE,"TOC";"ts1",#N/A,TRUE,"Transaction Summary";"ei1",#N/A,TRUE,"Earnings Impact";"ad1",#N/A,TRUE,"accretion dilution"}</definedName>
    <definedName name="wrn.2." localSheetId="5" hidden="1">{"cover",#N/A,TRUE,"Cover";"toc1",#N/A,TRUE,"TOC";"ts1",#N/A,TRUE,"Transaction Summary";"ei1",#N/A,TRUE,"Earnings Impact";"ad1",#N/A,TRUE,"accretion dilution"}</definedName>
    <definedName name="wrn.2." hidden="1">{"cover",#N/A,TRUE,"Cover";"toc1",#N/A,TRUE,"TOC";"ts1",#N/A,TRUE,"Transaction Summary";"ei1",#N/A,TRUE,"Earnings Impact";"ad1",#N/A,TRUE,"accretion dilution"}</definedName>
    <definedName name="wrn.2._.pagers." localSheetId="1" hidden="1">{"Cover",#N/A,FALSE,"Cover";"Summary",#N/A,FALSE,"Summarpage"}</definedName>
    <definedName name="wrn.2._.pagers." localSheetId="3" hidden="1">{"Cover",#N/A,FALSE,"Cover";"Summary",#N/A,FALSE,"Summarpage"}</definedName>
    <definedName name="wrn.2._.pagers." localSheetId="4" hidden="1">{"Cover",#N/A,FALSE,"Cover";"Summary",#N/A,FALSE,"Summarpage"}</definedName>
    <definedName name="wrn.2._.pagers." localSheetId="5" hidden="1">{"Cover",#N/A,FALSE,"Cover";"Summary",#N/A,FALSE,"Summarpage"}</definedName>
    <definedName name="wrn.2._.pagers." hidden="1">{"Cover",#N/A,FALSE,"Cover";"Summary",#N/A,FALSE,"Summarpage"}</definedName>
    <definedName name="wrn.2._.pagers.2" localSheetId="1" hidden="1">{"Cover",#N/A,FALSE,"Cover";"Summary",#N/A,FALSE,"Summarpage"}</definedName>
    <definedName name="wrn.2._.pagers.2" localSheetId="3" hidden="1">{"Cover",#N/A,FALSE,"Cover";"Summary",#N/A,FALSE,"Summarpage"}</definedName>
    <definedName name="wrn.2._.pagers.2" localSheetId="4" hidden="1">{"Cover",#N/A,FALSE,"Cover";"Summary",#N/A,FALSE,"Summarpage"}</definedName>
    <definedName name="wrn.2._.pagers.2" localSheetId="5" hidden="1">{"Cover",#N/A,FALSE,"Cover";"Summary",#N/A,FALSE,"Summarpage"}</definedName>
    <definedName name="wrn.2._.pagers.2" hidden="1">{"Cover",#N/A,FALSE,"Cover";"Summary",#N/A,FALSE,"Summarpage"}</definedName>
    <definedName name="wrn.20." localSheetId="1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." localSheetId="3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." localSheetId="4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." localSheetId="5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.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1." localSheetId="1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1." localSheetId="3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1." localSheetId="4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1." localSheetId="5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1.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2." localSheetId="1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2." localSheetId="3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2." localSheetId="4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2." localSheetId="5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2.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3." localSheetId="1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3." localSheetId="3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3." localSheetId="4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3." localSheetId="5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3.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4." localSheetId="1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4." localSheetId="3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4." localSheetId="4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4." localSheetId="5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4.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5." localSheetId="1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5." localSheetId="3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5." localSheetId="4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5." localSheetId="5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5.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6." localSheetId="1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6." localSheetId="3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6." localSheetId="4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6." localSheetId="5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6.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7." localSheetId="1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7." localSheetId="3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7." localSheetId="4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7." localSheetId="5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7.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8." localSheetId="1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8." localSheetId="3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8." localSheetId="4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8." localSheetId="5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8.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9." localSheetId="1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9." localSheetId="3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9." localSheetId="4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9." localSheetId="5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9.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3." localSheetId="1" hidden="1">{"cover",#N/A,TRUE,"Cover";"toc1",#N/A,TRUE,"TOC";"ts1",#N/A,TRUE,"Transaction Summary";"ei2",#N/A,TRUE,"Earnings Impact";"ad2",#N/A,TRUE,"accretion dilution"}</definedName>
    <definedName name="wrn.3." localSheetId="3" hidden="1">{"cover",#N/A,TRUE,"Cover";"toc1",#N/A,TRUE,"TOC";"ts1",#N/A,TRUE,"Transaction Summary";"ei2",#N/A,TRUE,"Earnings Impact";"ad2",#N/A,TRUE,"accretion dilution"}</definedName>
    <definedName name="wrn.3." localSheetId="4" hidden="1">{"cover",#N/A,TRUE,"Cover";"toc1",#N/A,TRUE,"TOC";"ts1",#N/A,TRUE,"Transaction Summary";"ei2",#N/A,TRUE,"Earnings Impact";"ad2",#N/A,TRUE,"accretion dilution"}</definedName>
    <definedName name="wrn.3." localSheetId="5" hidden="1">{"cover",#N/A,TRUE,"Cover";"toc1",#N/A,TRUE,"TOC";"ts1",#N/A,TRUE,"Transaction Summary";"ei2",#N/A,TRUE,"Earnings Impact";"ad2",#N/A,TRUE,"accretion dilution"}</definedName>
    <definedName name="wrn.3." hidden="1">{"cover",#N/A,TRUE,"Cover";"toc1",#N/A,TRUE,"TOC";"ts1",#N/A,TRUE,"Transaction Summary";"ei2",#N/A,TRUE,"Earnings Impact";"ad2",#N/A,TRUE,"accretion dilution"}</definedName>
    <definedName name="wrn.30." localSheetId="1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" localSheetId="3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" localSheetId="4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" localSheetId="5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1." localSheetId="1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1." localSheetId="3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1." localSheetId="4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1." localSheetId="5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1.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2." localSheetId="1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2." localSheetId="3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2." localSheetId="4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2." localSheetId="5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2.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3." localSheetId="1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3." localSheetId="3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3." localSheetId="4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3." localSheetId="5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3.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4." localSheetId="1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4." localSheetId="3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4." localSheetId="4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4." localSheetId="5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4.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5." localSheetId="1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5." localSheetId="3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5." localSheetId="4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5." localSheetId="5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5.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6." localSheetId="1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6." localSheetId="3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6." localSheetId="4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6." localSheetId="5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6.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7." localSheetId="1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7." localSheetId="3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7." localSheetId="4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7." localSheetId="5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7.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8." localSheetId="1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8." localSheetId="3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8." localSheetId="4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8." localSheetId="5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8.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9." localSheetId="1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9." localSheetId="3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9." localSheetId="4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9." localSheetId="5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9.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4." localSheetId="1" hidden="1">{"toc1",#N/A,FALSE,"TOC";"cover",#N/A,FALSE,"Cover";"ts1",#N/A,FALSE,"Transaction Summary";"ei3",#N/A,FALSE,"Earnings Impact";"ad3",#N/A,FALSE,"accretion dilution"}</definedName>
    <definedName name="wrn.4." localSheetId="3" hidden="1">{"toc1",#N/A,FALSE,"TOC";"cover",#N/A,FALSE,"Cover";"ts1",#N/A,FALSE,"Transaction Summary";"ei3",#N/A,FALSE,"Earnings Impact";"ad3",#N/A,FALSE,"accretion dilution"}</definedName>
    <definedName name="wrn.4." localSheetId="4" hidden="1">{"toc1",#N/A,FALSE,"TOC";"cover",#N/A,FALSE,"Cover";"ts1",#N/A,FALSE,"Transaction Summary";"ei3",#N/A,FALSE,"Earnings Impact";"ad3",#N/A,FALSE,"accretion dilution"}</definedName>
    <definedName name="wrn.4." localSheetId="5" hidden="1">{"toc1",#N/A,FALSE,"TOC";"cover",#N/A,FALSE,"Cover";"ts1",#N/A,FALSE,"Transaction Summary";"ei3",#N/A,FALSE,"Earnings Impact";"ad3",#N/A,FALSE,"accretion dilution"}</definedName>
    <definedName name="wrn.4." hidden="1">{"toc1",#N/A,FALSE,"TOC";"cover",#N/A,FALSE,"Cover";"ts1",#N/A,FALSE,"Transaction Summary";"ei3",#N/A,FALSE,"Earnings Impact";"ad3",#N/A,FALSE,"accretion dilution"}</definedName>
    <definedName name="wrn.40." localSheetId="1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0." localSheetId="3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0." localSheetId="4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0." localSheetId="5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0.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1." localSheetId="1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1." localSheetId="3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1." localSheetId="4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1." localSheetId="5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1.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2." localSheetId="1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2." localSheetId="3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2." localSheetId="4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2." localSheetId="5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2.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3." localSheetId="1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3." localSheetId="3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3." localSheetId="4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3." localSheetId="5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3.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4." localSheetId="1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4." localSheetId="3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4." localSheetId="4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4." localSheetId="5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4.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5." localSheetId="1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5." localSheetId="3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5." localSheetId="4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5." localSheetId="5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5.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6." localSheetId="1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6." localSheetId="3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6." localSheetId="4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6." localSheetId="5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6.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7." localSheetId="1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7." localSheetId="3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7." localSheetId="4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7." localSheetId="5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7.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8." localSheetId="1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8." localSheetId="3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8." localSheetId="4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8." localSheetId="5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8.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9." localSheetId="1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." localSheetId="3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." localSheetId="4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." localSheetId="5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.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5." localSheetId="1" hidden="1">{"cover",#N/A,TRUE,"Cover";"toc2",#N/A,TRUE,"TOC";"ts1",#N/A,TRUE,"Transaction Summary";"ei",#N/A,TRUE,"Earnings Impact";"ad",#N/A,TRUE,"accretion dilution";"hg",#N/A,TRUE,"Has-Gets"}</definedName>
    <definedName name="wrn.5." localSheetId="3" hidden="1">{"cover",#N/A,TRUE,"Cover";"toc2",#N/A,TRUE,"TOC";"ts1",#N/A,TRUE,"Transaction Summary";"ei",#N/A,TRUE,"Earnings Impact";"ad",#N/A,TRUE,"accretion dilution";"hg",#N/A,TRUE,"Has-Gets"}</definedName>
    <definedName name="wrn.5." localSheetId="4" hidden="1">{"cover",#N/A,TRUE,"Cover";"toc2",#N/A,TRUE,"TOC";"ts1",#N/A,TRUE,"Transaction Summary";"ei",#N/A,TRUE,"Earnings Impact";"ad",#N/A,TRUE,"accretion dilution";"hg",#N/A,TRUE,"Has-Gets"}</definedName>
    <definedName name="wrn.5." localSheetId="5" hidden="1">{"cover",#N/A,TRUE,"Cover";"toc2",#N/A,TRUE,"TOC";"ts1",#N/A,TRUE,"Transaction Summary";"ei",#N/A,TRUE,"Earnings Impact";"ad",#N/A,TRUE,"accretion dilution";"hg",#N/A,TRUE,"Has-Gets"}</definedName>
    <definedName name="wrn.5." hidden="1">{"cover",#N/A,TRUE,"Cover";"toc2",#N/A,TRUE,"TOC";"ts1",#N/A,TRUE,"Transaction Summary";"ei",#N/A,TRUE,"Earnings Impact";"ad",#N/A,TRUE,"accretion dilution";"hg",#N/A,TRUE,"Has-Gets"}</definedName>
    <definedName name="wrn.50." localSheetId="1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" localSheetId="3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" localSheetId="4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" localSheetId="5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1." localSheetId="1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1." localSheetId="3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1." localSheetId="4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1." localSheetId="5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1.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2." localSheetId="1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2." localSheetId="3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2." localSheetId="4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2." localSheetId="5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2.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3." localSheetId="1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3." localSheetId="3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3." localSheetId="4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3." localSheetId="5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3.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4." localSheetId="1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4." localSheetId="3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4." localSheetId="4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4." localSheetId="5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4.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5." localSheetId="1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5." localSheetId="3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5." localSheetId="4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5." localSheetId="5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5.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6." localSheetId="1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6." localSheetId="3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6." localSheetId="4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6." localSheetId="5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6.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7." localSheetId="1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7." localSheetId="3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7." localSheetId="4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7." localSheetId="5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7.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8." localSheetId="1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8." localSheetId="3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8." localSheetId="4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8." localSheetId="5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8.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9." localSheetId="1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59." localSheetId="3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59." localSheetId="4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59." localSheetId="5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59.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6." localSheetId="1" hidden="1">{"cover",#N/A,TRUE,"Cover";"toc2",#N/A,TRUE,"TOC";"ts1",#N/A,TRUE,"Transaction Summary";"ei1",#N/A,TRUE,"Earnings Impact";"ad1",#N/A,TRUE,"accretion dilution";"hg1",#N/A,TRUE,"Has-Gets"}</definedName>
    <definedName name="wrn.6." localSheetId="3" hidden="1">{"cover",#N/A,TRUE,"Cover";"toc2",#N/A,TRUE,"TOC";"ts1",#N/A,TRUE,"Transaction Summary";"ei1",#N/A,TRUE,"Earnings Impact";"ad1",#N/A,TRUE,"accretion dilution";"hg1",#N/A,TRUE,"Has-Gets"}</definedName>
    <definedName name="wrn.6." localSheetId="4" hidden="1">{"cover",#N/A,TRUE,"Cover";"toc2",#N/A,TRUE,"TOC";"ts1",#N/A,TRUE,"Transaction Summary";"ei1",#N/A,TRUE,"Earnings Impact";"ad1",#N/A,TRUE,"accretion dilution";"hg1",#N/A,TRUE,"Has-Gets"}</definedName>
    <definedName name="wrn.6." localSheetId="5" hidden="1">{"cover",#N/A,TRUE,"Cover";"toc2",#N/A,TRUE,"TOC";"ts1",#N/A,TRUE,"Transaction Summary";"ei1",#N/A,TRUE,"Earnings Impact";"ad1",#N/A,TRUE,"accretion dilution";"hg1",#N/A,TRUE,"Has-Gets"}</definedName>
    <definedName name="wrn.6." hidden="1">{"cover",#N/A,TRUE,"Cover";"toc2",#N/A,TRUE,"TOC";"ts1",#N/A,TRUE,"Transaction Summary";"ei1",#N/A,TRUE,"Earnings Impact";"ad1",#N/A,TRUE,"accretion dilution";"hg1",#N/A,TRUE,"Has-Gets"}</definedName>
    <definedName name="wrn.60." localSheetId="1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0." localSheetId="3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0." localSheetId="4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0." localSheetId="5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0.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1." localSheetId="1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1." localSheetId="3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1." localSheetId="4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1." localSheetId="5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1.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2." localSheetId="1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2." localSheetId="3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2." localSheetId="4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2." localSheetId="5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2.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3." localSheetId="1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3." localSheetId="3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3." localSheetId="4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3." localSheetId="5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3.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4." localSheetId="1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4." localSheetId="3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4." localSheetId="4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4." localSheetId="5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4.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5." localSheetId="1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5." localSheetId="3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5." localSheetId="4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5." localSheetId="5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5.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6." localSheetId="1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6." localSheetId="3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6." localSheetId="4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6." localSheetId="5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6.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7." localSheetId="1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7." localSheetId="3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7." localSheetId="4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7." localSheetId="5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7.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8." localSheetId="1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8." localSheetId="3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8." localSheetId="4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8." localSheetId="5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8.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9." localSheetId="1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69." localSheetId="3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69." localSheetId="4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69." localSheetId="5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69.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7." localSheetId="1" hidden="1">{"cover",#N/A,TRUE,"Cover";"toc2",#N/A,TRUE,"TOC";"ts1",#N/A,TRUE,"Transaction Summary";"ei2c",#N/A,TRUE,"Earnings Impact";"ad2",#N/A,TRUE,"accretion dilution";"hg2",#N/A,TRUE,"Has-Gets"}</definedName>
    <definedName name="wrn.7." localSheetId="3" hidden="1">{"cover",#N/A,TRUE,"Cover";"toc2",#N/A,TRUE,"TOC";"ts1",#N/A,TRUE,"Transaction Summary";"ei2c",#N/A,TRUE,"Earnings Impact";"ad2",#N/A,TRUE,"accretion dilution";"hg2",#N/A,TRUE,"Has-Gets"}</definedName>
    <definedName name="wrn.7." localSheetId="4" hidden="1">{"cover",#N/A,TRUE,"Cover";"toc2",#N/A,TRUE,"TOC";"ts1",#N/A,TRUE,"Transaction Summary";"ei2c",#N/A,TRUE,"Earnings Impact";"ad2",#N/A,TRUE,"accretion dilution";"hg2",#N/A,TRUE,"Has-Gets"}</definedName>
    <definedName name="wrn.7." localSheetId="5" hidden="1">{"cover",#N/A,TRUE,"Cover";"toc2",#N/A,TRUE,"TOC";"ts1",#N/A,TRUE,"Transaction Summary";"ei2c",#N/A,TRUE,"Earnings Impact";"ad2",#N/A,TRUE,"accretion dilution";"hg2",#N/A,TRUE,"Has-Gets"}</definedName>
    <definedName name="wrn.7." hidden="1">{"cover",#N/A,TRUE,"Cover";"toc2",#N/A,TRUE,"TOC";"ts1",#N/A,TRUE,"Transaction Summary";"ei2c",#N/A,TRUE,"Earnings Impact";"ad2",#N/A,TRUE,"accretion dilution";"hg2",#N/A,TRUE,"Has-Gets"}</definedName>
    <definedName name="wrn.70." localSheetId="1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" localSheetId="3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" localSheetId="4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" localSheetId="5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1." localSheetId="1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1." localSheetId="3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1." localSheetId="4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1." localSheetId="5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1.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2." localSheetId="1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2." localSheetId="3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2." localSheetId="4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2." localSheetId="5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2.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8." localSheetId="1" hidden="1">{"cover",#N/A,TRUE,"Cover";"toc2",#N/A,TRUE,"TOC";"ts1",#N/A,TRUE,"Transaction Summary";"ei3",#N/A,TRUE,"Earnings Impact";"ad3",#N/A,TRUE,"accretion dilution";"hg3",#N/A,TRUE,"Has-Gets"}</definedName>
    <definedName name="wrn.8." localSheetId="3" hidden="1">{"cover",#N/A,TRUE,"Cover";"toc2",#N/A,TRUE,"TOC";"ts1",#N/A,TRUE,"Transaction Summary";"ei3",#N/A,TRUE,"Earnings Impact";"ad3",#N/A,TRUE,"accretion dilution";"hg3",#N/A,TRUE,"Has-Gets"}</definedName>
    <definedName name="wrn.8." localSheetId="4" hidden="1">{"cover",#N/A,TRUE,"Cover";"toc2",#N/A,TRUE,"TOC";"ts1",#N/A,TRUE,"Transaction Summary";"ei3",#N/A,TRUE,"Earnings Impact";"ad3",#N/A,TRUE,"accretion dilution";"hg3",#N/A,TRUE,"Has-Gets"}</definedName>
    <definedName name="wrn.8." localSheetId="5" hidden="1">{"cover",#N/A,TRUE,"Cover";"toc2",#N/A,TRUE,"TOC";"ts1",#N/A,TRUE,"Transaction Summary";"ei3",#N/A,TRUE,"Earnings Impact";"ad3",#N/A,TRUE,"accretion dilution";"hg3",#N/A,TRUE,"Has-Gets"}</definedName>
    <definedName name="wrn.8." hidden="1">{"cover",#N/A,TRUE,"Cover";"toc2",#N/A,TRUE,"TOC";"ts1",#N/A,TRUE,"Transaction Summary";"ei3",#N/A,TRUE,"Earnings Impact";"ad3",#N/A,TRUE,"accretion dilution";"hg3",#N/A,TRUE,"Has-Gets"}</definedName>
    <definedName name="wrn.9." localSheetId="1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." localSheetId="3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." localSheetId="4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." localSheetId="5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.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7." localSheetId="1" hidden="1">{#N/A,#N/A,FALSE,"지침";#N/A,#N/A,FALSE,"환경분석";#N/A,#N/A,FALSE,"Sheet16"}</definedName>
    <definedName name="wrn.97." localSheetId="3" hidden="1">{#N/A,#N/A,FALSE,"지침";#N/A,#N/A,FALSE,"환경분석";#N/A,#N/A,FALSE,"Sheet16"}</definedName>
    <definedName name="wrn.97." localSheetId="4" hidden="1">{#N/A,#N/A,FALSE,"지침";#N/A,#N/A,FALSE,"환경분석";#N/A,#N/A,FALSE,"Sheet16"}</definedName>
    <definedName name="wrn.97." localSheetId="5" hidden="1">{#N/A,#N/A,FALSE,"지침";#N/A,#N/A,FALSE,"환경분석";#N/A,#N/A,FALSE,"Sheet16"}</definedName>
    <definedName name="wrn.97." hidden="1">{#N/A,#N/A,FALSE,"지침";#N/A,#N/A,FALSE,"환경분석";#N/A,#N/A,FALSE,"Sheet16"}</definedName>
    <definedName name="wrn.ACCRUE._.PAYROLL." localSheetId="1" hidden="1">{"HK PR",#N/A,FALSE,"HK";"SUMMARY",#N/A,FALSE,"PAYROLL";"SUMMARY",#N/A,FALSE,"PAYROLL";"HK PR",#N/A,FALSE,"HK"}</definedName>
    <definedName name="wrn.ACCRUE._.PAYROLL." localSheetId="3" hidden="1">{"HK PR",#N/A,FALSE,"HK";"SUMMARY",#N/A,FALSE,"PAYROLL";"SUMMARY",#N/A,FALSE,"PAYROLL";"HK PR",#N/A,FALSE,"HK"}</definedName>
    <definedName name="wrn.ACCRUE._.PAYROLL." localSheetId="4" hidden="1">{"HK PR",#N/A,FALSE,"HK";"SUMMARY",#N/A,FALSE,"PAYROLL";"SUMMARY",#N/A,FALSE,"PAYROLL";"HK PR",#N/A,FALSE,"HK"}</definedName>
    <definedName name="wrn.ACCRUE._.PAYROLL." localSheetId="5" hidden="1">{"HK PR",#N/A,FALSE,"HK";"SUMMARY",#N/A,FALSE,"PAYROLL";"SUMMARY",#N/A,FALSE,"PAYROLL";"HK PR",#N/A,FALSE,"HK"}</definedName>
    <definedName name="wrn.ACCRUE._.PAYROLL." hidden="1">{"HK PR",#N/A,FALSE,"HK";"SUMMARY",#N/A,FALSE,"PAYROLL";"SUMMARY",#N/A,FALSE,"PAYROLL";"HK PR",#N/A,FALSE,"HK"}</definedName>
    <definedName name="wrn.ALAN." localSheetId="1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" localSheetId="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" localSheetId="4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" localSheetId="5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L." localSheetId="1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" localSheetId="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" localSheetId="4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" localSheetId="5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.Sections." localSheetId="1" hidden="1">{"Data Entry",#N/A,FALSE,"COMPTEMP";"Ratios",#N/A,FALSE,"COMPTEMP";"Aggregate Values",#N/A,FALSE,"COMPTEMP";"Equity Multiples",#N/A,FALSE,"COMPTEMP";"Summary Overview",#N/A,FALSE,"COMPTEMP"}</definedName>
    <definedName name="wrn.All._.Sections." localSheetId="3" hidden="1">{"Data Entry",#N/A,FALSE,"COMPTEMP";"Ratios",#N/A,FALSE,"COMPTEMP";"Aggregate Values",#N/A,FALSE,"COMPTEMP";"Equity Multiples",#N/A,FALSE,"COMPTEMP";"Summary Overview",#N/A,FALSE,"COMPTEMP"}</definedName>
    <definedName name="wrn.All._.Sections." localSheetId="4" hidden="1">{"Data Entry",#N/A,FALSE,"COMPTEMP";"Ratios",#N/A,FALSE,"COMPTEMP";"Aggregate Values",#N/A,FALSE,"COMPTEMP";"Equity Multiples",#N/A,FALSE,"COMPTEMP";"Summary Overview",#N/A,FALSE,"COMPTEMP"}</definedName>
    <definedName name="wrn.All._.Sections." localSheetId="5" hidden="1">{"Data Entry",#N/A,FALSE,"COMPTEMP";"Ratios",#N/A,FALSE,"COMPTEMP";"Aggregate Values",#N/A,FALSE,"COMPTEMP";"Equity Multiples",#N/A,FALSE,"COMPTEMP";"Summary Overview",#N/A,FALSE,"COMPTEMP"}</definedName>
    <definedName name="wrn.All._.Sections." hidden="1">{"Data Entry",#N/A,FALSE,"COMPTEMP";"Ratios",#N/A,FALSE,"COMPTEMP";"Aggregate Values",#N/A,FALSE,"COMPTEMP";"Equity Multiples",#N/A,FALSE,"COMPTEMP";"Summary Overview",#N/A,FALSE,"COMPTEMP"}</definedName>
    <definedName name="wrn.Alligator." localSheetId="1" hidden="1">{#N/A,#N/A,FALSE,"Cover";#N/A,#N/A,FALSE,"Summary-Alligator";#N/A,#N/A,FALSE,"Proforma-Alligator";#N/A,#N/A,FALSE,"Cougar (12-31)";#N/A,#N/A,FALSE,"Cougar (3-31)";#N/A,#N/A,FALSE,"Alligator (12-31)";#N/A,#N/A,FALSE,"Alligator (3-31)"}</definedName>
    <definedName name="wrn.Alligator." localSheetId="3" hidden="1">{#N/A,#N/A,FALSE,"Cover";#N/A,#N/A,FALSE,"Summary-Alligator";#N/A,#N/A,FALSE,"Proforma-Alligator";#N/A,#N/A,FALSE,"Cougar (12-31)";#N/A,#N/A,FALSE,"Cougar (3-31)";#N/A,#N/A,FALSE,"Alligator (12-31)";#N/A,#N/A,FALSE,"Alligator (3-31)"}</definedName>
    <definedName name="wrn.Alligator." localSheetId="4" hidden="1">{#N/A,#N/A,FALSE,"Cover";#N/A,#N/A,FALSE,"Summary-Alligator";#N/A,#N/A,FALSE,"Proforma-Alligator";#N/A,#N/A,FALSE,"Cougar (12-31)";#N/A,#N/A,FALSE,"Cougar (3-31)";#N/A,#N/A,FALSE,"Alligator (12-31)";#N/A,#N/A,FALSE,"Alligator (3-31)"}</definedName>
    <definedName name="wrn.Alligator." localSheetId="5" hidden="1">{#N/A,#N/A,FALSE,"Cover";#N/A,#N/A,FALSE,"Summary-Alligator";#N/A,#N/A,FALSE,"Proforma-Alligator";#N/A,#N/A,FALSE,"Cougar (12-31)";#N/A,#N/A,FALSE,"Cougar (3-31)";#N/A,#N/A,FALSE,"Alligator (12-31)";#N/A,#N/A,FALSE,"Alligator (3-31)"}</definedName>
    <definedName name="wrn.Alligator." hidden="1">{#N/A,#N/A,FALSE,"Cover";#N/A,#N/A,FALSE,"Summary-Alligator";#N/A,#N/A,FALSE,"Proforma-Alligator";#N/A,#N/A,FALSE,"Cougar (12-31)";#N/A,#N/A,FALSE,"Cougar (3-31)";#N/A,#N/A,FALSE,"Alligator (12-31)";#N/A,#N/A,FALSE,"Alligator (3-31)"}</definedName>
    <definedName name="wrn.BankView." localSheetId="1" hidden="1">{"BankView",#N/A,FALSE,"TransSum";#N/A,#N/A,FALSE,"Lab";#N/A,#N/A,FALSE,"Micro wo HiPur";#N/A,#N/A,FALSE,"Texas";#N/A,#N/A,FALSE,"Temple";#N/A,#N/A,FALSE,"Micro";#N/A,#N/A,FALSE,"BuyResale";#N/A,#N/A,FALSE,"Spec.";#N/A,#N/A,FALSE,"Comb";#N/A,#N/A,FALSE,"StandAlon";#N/A,#N/A,FALSE,"IncStmt";#N/A,#N/A,FALSE,"BalSht";#N/A,#N/A,FALSE,"CapEx";#N/A,#N/A,FALSE,"CashFlow";#N/A,#N/A,FALSE,"TBS"}</definedName>
    <definedName name="wrn.BankView." localSheetId="3" hidden="1">{"BankView",#N/A,FALSE,"TransSum";#N/A,#N/A,FALSE,"Lab";#N/A,#N/A,FALSE,"Micro wo HiPur";#N/A,#N/A,FALSE,"Texas";#N/A,#N/A,FALSE,"Temple";#N/A,#N/A,FALSE,"Micro";#N/A,#N/A,FALSE,"BuyResale";#N/A,#N/A,FALSE,"Spec.";#N/A,#N/A,FALSE,"Comb";#N/A,#N/A,FALSE,"StandAlon";#N/A,#N/A,FALSE,"IncStmt";#N/A,#N/A,FALSE,"BalSht";#N/A,#N/A,FALSE,"CapEx";#N/A,#N/A,FALSE,"CashFlow";#N/A,#N/A,FALSE,"TBS"}</definedName>
    <definedName name="wrn.BankView." localSheetId="4" hidden="1">{"BankView",#N/A,FALSE,"TransSum";#N/A,#N/A,FALSE,"Lab";#N/A,#N/A,FALSE,"Micro wo HiPur";#N/A,#N/A,FALSE,"Texas";#N/A,#N/A,FALSE,"Temple";#N/A,#N/A,FALSE,"Micro";#N/A,#N/A,FALSE,"BuyResale";#N/A,#N/A,FALSE,"Spec.";#N/A,#N/A,FALSE,"Comb";#N/A,#N/A,FALSE,"StandAlon";#N/A,#N/A,FALSE,"IncStmt";#N/A,#N/A,FALSE,"BalSht";#N/A,#N/A,FALSE,"CapEx";#N/A,#N/A,FALSE,"CashFlow";#N/A,#N/A,FALSE,"TBS"}</definedName>
    <definedName name="wrn.BankView." localSheetId="5" hidden="1">{"BankView",#N/A,FALSE,"TransSum";#N/A,#N/A,FALSE,"Lab";#N/A,#N/A,FALSE,"Micro wo HiPur";#N/A,#N/A,FALSE,"Texas";#N/A,#N/A,FALSE,"Temple";#N/A,#N/A,FALSE,"Micro";#N/A,#N/A,FALSE,"BuyResale";#N/A,#N/A,FALSE,"Spec.";#N/A,#N/A,FALSE,"Comb";#N/A,#N/A,FALSE,"StandAlon";#N/A,#N/A,FALSE,"IncStmt";#N/A,#N/A,FALSE,"BalSht";#N/A,#N/A,FALSE,"CapEx";#N/A,#N/A,FALSE,"CashFlow";#N/A,#N/A,FALSE,"TBS"}</definedName>
    <definedName name="wrn.BankView." hidden="1">{"BankView",#N/A,FALSE,"TransSum";#N/A,#N/A,FALSE,"Lab";#N/A,#N/A,FALSE,"Micro wo HiPur";#N/A,#N/A,FALSE,"Texas";#N/A,#N/A,FALSE,"Temple";#N/A,#N/A,FALSE,"Micro";#N/A,#N/A,FALSE,"BuyResale";#N/A,#N/A,FALSE,"Spec.";#N/A,#N/A,FALSE,"Comb";#N/A,#N/A,FALSE,"StandAlon";#N/A,#N/A,FALSE,"IncStmt";#N/A,#N/A,FALSE,"BalSht";#N/A,#N/A,FALSE,"CapEx";#N/A,#N/A,FALSE,"CashFlow";#N/A,#N/A,FALSE,"TBS"}</definedName>
    <definedName name="wrn.breakup." localSheetId="1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reakup." localSheetId="3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reakup." localSheetId="4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reakup." localSheetId="5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reakup.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uildups." localSheetId="1" hidden="1">{"ACQ",#N/A,FALSE,"ACQUISITIONS";"ACQF",#N/A,FALSE,"ACQUISITIONS";"PF",#N/A,FALSE,"PROYECTOVILA";"PV",#N/A,FALSE,"PROYECTOVILA";"Fee Dev",#N/A,FALSE,"DEVELOPMENT GROWTH";"gd",#N/A,FALSE,"DEVELOPMENT GROWTH"}</definedName>
    <definedName name="wrn.Buildups." localSheetId="3" hidden="1">{"ACQ",#N/A,FALSE,"ACQUISITIONS";"ACQF",#N/A,FALSE,"ACQUISITIONS";"PF",#N/A,FALSE,"PROYECTOVILA";"PV",#N/A,FALSE,"PROYECTOVILA";"Fee Dev",#N/A,FALSE,"DEVELOPMENT GROWTH";"gd",#N/A,FALSE,"DEVELOPMENT GROWTH"}</definedName>
    <definedName name="wrn.Buildups." localSheetId="4" hidden="1">{"ACQ",#N/A,FALSE,"ACQUISITIONS";"ACQF",#N/A,FALSE,"ACQUISITIONS";"PF",#N/A,FALSE,"PROYECTOVILA";"PV",#N/A,FALSE,"PROYECTOVILA";"Fee Dev",#N/A,FALSE,"DEVELOPMENT GROWTH";"gd",#N/A,FALSE,"DEVELOPMENT GROWTH"}</definedName>
    <definedName name="wrn.Buildups." localSheetId="5" hidden="1">{"ACQ",#N/A,FALSE,"ACQUISITIONS";"ACQF",#N/A,FALSE,"ACQUISITIONS";"PF",#N/A,FALSE,"PROYECTOVILA";"PV",#N/A,FALSE,"PROYECTOVILA";"Fee Dev",#N/A,FALSE,"DEVELOPMENT GROWTH";"gd",#N/A,FALSE,"DEVELOPMENT GROWTH"}</definedName>
    <definedName name="wrn.Buildups." hidden="1">{"ACQ",#N/A,FALSE,"ACQUISITIONS";"ACQF",#N/A,FALSE,"ACQUISITIONS";"PF",#N/A,FALSE,"PROYECTOVILA";"PV",#N/A,FALSE,"PROYECTOVILA";"Fee Dev",#N/A,FALSE,"DEVELOPMENT GROWTH";"gd",#N/A,FALSE,"DEVELOPMENT GROWTH"}</definedName>
    <definedName name="wrn.chi._.tiÆt." localSheetId="1" hidden="1">{#N/A,#N/A,FALSE,"Chi tiÆt"}</definedName>
    <definedName name="wrn.chi._.tiÆt." localSheetId="3" hidden="1">{#N/A,#N/A,FALSE,"Chi tiÆt"}</definedName>
    <definedName name="wrn.chi._.tiÆt." localSheetId="4" hidden="1">{#N/A,#N/A,FALSE,"Chi tiÆt"}</definedName>
    <definedName name="wrn.chi._.tiÆt." localSheetId="5" hidden="1">{#N/A,#N/A,FALSE,"Chi tiÆt"}</definedName>
    <definedName name="wrn.chi._.tiÆt." hidden="1">{#N/A,#N/A,FALSE,"Chi tiÆt"}</definedName>
    <definedName name="wrn.Compco._.Only." localSheetId="1" hidden="1">{"vi1",#N/A,FALSE,"6_30_96";"vi2",#N/A,FALSE,"6_30_96";"vi3",#N/A,FALSE,"6_30_96"}</definedName>
    <definedName name="wrn.Compco._.Only." localSheetId="3" hidden="1">{"vi1",#N/A,FALSE,"6_30_96";"vi2",#N/A,FALSE,"6_30_96";"vi3",#N/A,FALSE,"6_30_96"}</definedName>
    <definedName name="wrn.Compco._.Only." localSheetId="4" hidden="1">{"vi1",#N/A,FALSE,"6_30_96";"vi2",#N/A,FALSE,"6_30_96";"vi3",#N/A,FALSE,"6_30_96"}</definedName>
    <definedName name="wrn.Compco._.Only." localSheetId="5" hidden="1">{"vi1",#N/A,FALSE,"6_30_96";"vi2",#N/A,FALSE,"6_30_96";"vi3",#N/A,FALSE,"6_30_96"}</definedName>
    <definedName name="wrn.Compco._.Only." hidden="1">{"vi1",#N/A,FALSE,"6_30_96";"vi2",#N/A,FALSE,"6_30_96";"vi3",#N/A,FALSE,"6_30_96"}</definedName>
    <definedName name="wrn.Complete." localSheetId="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" localSheetId="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" localSheetId="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" localSheetId="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" localSheetId="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" localSheetId="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localSheetId="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localSheetId="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localSheetId="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SA._.FS._.국문." localSheetId="1" hidden="1">{#N/A,#N/A,FALSE,"BS";#N/A,#N/A,FALSE,"PL";#N/A,#N/A,FALSE,"처분";#N/A,#N/A,FALSE,"현금";#N/A,#N/A,FALSE,"매출";#N/A,#N/A,FALSE,"원가";#N/A,#N/A,FALSE,"경영"}</definedName>
    <definedName name="wrn.COSA._.FS._.국문." localSheetId="3" hidden="1">{#N/A,#N/A,FALSE,"BS";#N/A,#N/A,FALSE,"PL";#N/A,#N/A,FALSE,"처분";#N/A,#N/A,FALSE,"현금";#N/A,#N/A,FALSE,"매출";#N/A,#N/A,FALSE,"원가";#N/A,#N/A,FALSE,"경영"}</definedName>
    <definedName name="wrn.COSA._.FS._.국문." localSheetId="4" hidden="1">{#N/A,#N/A,FALSE,"BS";#N/A,#N/A,FALSE,"PL";#N/A,#N/A,FALSE,"처분";#N/A,#N/A,FALSE,"현금";#N/A,#N/A,FALSE,"매출";#N/A,#N/A,FALSE,"원가";#N/A,#N/A,FALSE,"경영"}</definedName>
    <definedName name="wrn.COSA._.FS._.국문." localSheetId="5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criteria.95p." localSheetId="1" hidden="1">{#N/A,#N/A,FALSE,"1.CRITERIA";#N/A,#N/A,FALSE,"2.IS";#N/A,#N/A,FALSE,"3.BS";#N/A,#N/A,FALSE,"4.PER PL";#N/A,#N/A,FALSE,"5.INVESTMENT";#N/A,#N/A,FALSE,"6.공문";#N/A,#N/A,FALSE,"7.netinvest"}</definedName>
    <definedName name="wrn.criteria.95p." localSheetId="3" hidden="1">{#N/A,#N/A,FALSE,"1.CRITERIA";#N/A,#N/A,FALSE,"2.IS";#N/A,#N/A,FALSE,"3.BS";#N/A,#N/A,FALSE,"4.PER PL";#N/A,#N/A,FALSE,"5.INVESTMENT";#N/A,#N/A,FALSE,"6.공문";#N/A,#N/A,FALSE,"7.netinvest"}</definedName>
    <definedName name="wrn.criteria.95p." localSheetId="4" hidden="1">{#N/A,#N/A,FALSE,"1.CRITERIA";#N/A,#N/A,FALSE,"2.IS";#N/A,#N/A,FALSE,"3.BS";#N/A,#N/A,FALSE,"4.PER PL";#N/A,#N/A,FALSE,"5.INVESTMENT";#N/A,#N/A,FALSE,"6.공문";#N/A,#N/A,FALSE,"7.netinvest"}</definedName>
    <definedName name="wrn.criteria.95p." localSheetId="5" hidden="1">{#N/A,#N/A,FALSE,"1.CRITERIA";#N/A,#N/A,FALSE,"2.IS";#N/A,#N/A,FALSE,"3.BS";#N/A,#N/A,FALSE,"4.PER PL";#N/A,#N/A,FALSE,"5.INVESTMENT";#N/A,#N/A,FALSE,"6.공문";#N/A,#N/A,FALSE,"7.netinvest"}</definedName>
    <definedName name="wrn.criteria.95p." hidden="1">{#N/A,#N/A,FALSE,"1.CRITERIA";#N/A,#N/A,FALSE,"2.IS";#N/A,#N/A,FALSE,"3.BS";#N/A,#N/A,FALSE,"4.PER PL";#N/A,#N/A,FALSE,"5.INVESTMENT";#N/A,#N/A,FALSE,"6.공문";#N/A,#N/A,FALSE,"7.netinvest"}</definedName>
    <definedName name="wrn.Derek." localSheetId="1" hidden="1">{#N/A,#N/A,FALSE,"Transaction_Sum_debt_Stats";#N/A,#N/A,FALSE,"Earnings Impact";#N/A,#N/A,FALSE,"Sensitivity Table"}</definedName>
    <definedName name="wrn.Derek." localSheetId="3" hidden="1">{#N/A,#N/A,FALSE,"Transaction_Sum_debt_Stats";#N/A,#N/A,FALSE,"Earnings Impact";#N/A,#N/A,FALSE,"Sensitivity Table"}</definedName>
    <definedName name="wrn.Derek." localSheetId="4" hidden="1">{#N/A,#N/A,FALSE,"Transaction_Sum_debt_Stats";#N/A,#N/A,FALSE,"Earnings Impact";#N/A,#N/A,FALSE,"Sensitivity Table"}</definedName>
    <definedName name="wrn.Derek." localSheetId="5" hidden="1">{#N/A,#N/A,FALSE,"Transaction_Sum_debt_Stats";#N/A,#N/A,FALSE,"Earnings Impact";#N/A,#N/A,FALSE,"Sensitivity Table"}</definedName>
    <definedName name="wrn.Derek." hidden="1">{#N/A,#N/A,FALSE,"Transaction_Sum_debt_Stats";#N/A,#N/A,FALSE,"Earnings Impact";#N/A,#N/A,FALSE,"Sensitivity Table"}</definedName>
    <definedName name="wrn.devdeal." localSheetId="1" hidden="1">{"top",#N/A,TRUE,"Detail";"next",#N/A,TRUE,"Detail";"then",#N/A,TRUE,"Detail";"and",#N/A,TRUE,"Detail";"inaddition",#N/A,TRUE,"Detail";"finally",#N/A,TRUE,"Detail"}</definedName>
    <definedName name="wrn.devdeal." localSheetId="3" hidden="1">{"top",#N/A,TRUE,"Detail";"next",#N/A,TRUE,"Detail";"then",#N/A,TRUE,"Detail";"and",#N/A,TRUE,"Detail";"inaddition",#N/A,TRUE,"Detail";"finally",#N/A,TRUE,"Detail"}</definedName>
    <definedName name="wrn.devdeal." localSheetId="4" hidden="1">{"top",#N/A,TRUE,"Detail";"next",#N/A,TRUE,"Detail";"then",#N/A,TRUE,"Detail";"and",#N/A,TRUE,"Detail";"inaddition",#N/A,TRUE,"Detail";"finally",#N/A,TRUE,"Detail"}</definedName>
    <definedName name="wrn.devdeal." localSheetId="5" hidden="1">{"top",#N/A,TRUE,"Detail";"next",#N/A,TRUE,"Detail";"then",#N/A,TRUE,"Detail";"and",#N/A,TRUE,"Detail";"inaddition",#N/A,TRUE,"Detail";"finally",#N/A,TRUE,"Detail"}</definedName>
    <definedName name="wrn.devdeal." hidden="1">{"top",#N/A,TRUE,"Detail";"next",#N/A,TRUE,"Detail";"then",#N/A,TRUE,"Detail";"and",#N/A,TRUE,"Detail";"inaddition",#N/A,TRUE,"Detail";"finally",#N/A,TRUE,"Detail"}</definedName>
    <definedName name="wrn.Financials_long." localSheetId="1" hidden="1">{"IS",#N/A,FALSE,"Financials2 (Expanded)";"bsa",#N/A,FALSE,"Financials2 (Expanded)";"BS",#N/A,FALSE,"Financials2 (Expanded)";"CF",#N/A,FALSE,"Financials2 (Expanded)"}</definedName>
    <definedName name="wrn.Financials_long." localSheetId="3" hidden="1">{"IS",#N/A,FALSE,"Financials2 (Expanded)";"bsa",#N/A,FALSE,"Financials2 (Expanded)";"BS",#N/A,FALSE,"Financials2 (Expanded)";"CF",#N/A,FALSE,"Financials2 (Expanded)"}</definedName>
    <definedName name="wrn.Financials_long." localSheetId="4" hidden="1">{"IS",#N/A,FALSE,"Financials2 (Expanded)";"bsa",#N/A,FALSE,"Financials2 (Expanded)";"BS",#N/A,FALSE,"Financials2 (Expanded)";"CF",#N/A,FALSE,"Financials2 (Expanded)"}</definedName>
    <definedName name="wrn.Financials_long." localSheetId="5" hidden="1">{"IS",#N/A,FALSE,"Financials2 (Expanded)";"bsa",#N/A,FALSE,"Financials2 (Expanded)";"BS",#N/A,FALSE,"Financials2 (Expanded)";"CF",#N/A,FALSE,"Financials2 (Expanded)"}</definedName>
    <definedName name="wrn.Financials_long." hidden="1">{"IS",#N/A,FALSE,"Financials2 (Expanded)";"bsa",#N/A,FALSE,"Financials2 (Expanded)";"BS",#N/A,FALSE,"Financials2 (Expanded)";"CF",#N/A,FALSE,"Financials2 (Expanded)"}</definedName>
    <definedName name="wrn.Full." localSheetId="1" hidden="1">{#N/A,#N/A,TRUE,"TransSum";#N/A,#N/A,TRUE,"Build-up Tar";#N/A,#N/A,TRUE,"Build-up Acq";#N/A,#N/A,TRUE,"IncStmt";#N/A,#N/A,TRUE,"BalSht";#N/A,#N/A,TRUE,"CashFlow";#N/A,#N/A,TRUE,"TBS";#N/A,#N/A,TRUE,"Earn-out";#N/A,#N/A,TRUE,"Carlyle Gain";#N/A,#N/A,TRUE,"Returns"}</definedName>
    <definedName name="wrn.Full." localSheetId="3" hidden="1">{#N/A,#N/A,TRUE,"TransSum";#N/A,#N/A,TRUE,"Build-up Tar";#N/A,#N/A,TRUE,"Build-up Acq";#N/A,#N/A,TRUE,"IncStmt";#N/A,#N/A,TRUE,"BalSht";#N/A,#N/A,TRUE,"CashFlow";#N/A,#N/A,TRUE,"TBS";#N/A,#N/A,TRUE,"Earn-out";#N/A,#N/A,TRUE,"Carlyle Gain";#N/A,#N/A,TRUE,"Returns"}</definedName>
    <definedName name="wrn.Full." localSheetId="4" hidden="1">{#N/A,#N/A,TRUE,"TransSum";#N/A,#N/A,TRUE,"Build-up Tar";#N/A,#N/A,TRUE,"Build-up Acq";#N/A,#N/A,TRUE,"IncStmt";#N/A,#N/A,TRUE,"BalSht";#N/A,#N/A,TRUE,"CashFlow";#N/A,#N/A,TRUE,"TBS";#N/A,#N/A,TRUE,"Earn-out";#N/A,#N/A,TRUE,"Carlyle Gain";#N/A,#N/A,TRUE,"Returns"}</definedName>
    <definedName name="wrn.Full." localSheetId="5" hidden="1">{#N/A,#N/A,TRUE,"TransSum";#N/A,#N/A,TRUE,"Build-up Tar";#N/A,#N/A,TRUE,"Build-up Acq";#N/A,#N/A,TRUE,"IncStmt";#N/A,#N/A,TRUE,"BalSht";#N/A,#N/A,TRUE,"CashFlow";#N/A,#N/A,TRUE,"TBS";#N/A,#N/A,TRUE,"Earn-out";#N/A,#N/A,TRUE,"Carlyle Gain";#N/A,#N/A,TRUE,"Returns"}</definedName>
    <definedName name="wrn.Full." hidden="1">{#N/A,#N/A,TRUE,"TransSum";#N/A,#N/A,TRUE,"Build-up Tar";#N/A,#N/A,TRUE,"Build-up Acq";#N/A,#N/A,TRUE,"IncStmt";#N/A,#N/A,TRUE,"BalSht";#N/A,#N/A,TRUE,"CashFlow";#N/A,#N/A,TRUE,"TBS";#N/A,#N/A,TRUE,"Earn-out";#N/A,#N/A,TRUE,"Carlyle Gain";#N/A,#N/A,TRUE,"Returns"}</definedName>
    <definedName name="wrn.Full._.Monty." localSheetId="1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" localSheetId="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" localSheetId="4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" localSheetId="5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INDEPS." localSheetId="1" hidden="1">{"page1",#N/A,FALSE,"TIND_CC1";"page2",#N/A,FALSE,"TIND_CC1";"page3",#N/A,FALSE,"TIND_CC1";"page4",#N/A,FALSE,"TIND_CC1";"page5",#N/A,FALSE,"TIND_CC1"}</definedName>
    <definedName name="wrn.INDEPS." localSheetId="3" hidden="1">{"page1",#N/A,FALSE,"TIND_CC1";"page2",#N/A,FALSE,"TIND_CC1";"page3",#N/A,FALSE,"TIND_CC1";"page4",#N/A,FALSE,"TIND_CC1";"page5",#N/A,FALSE,"TIND_CC1"}</definedName>
    <definedName name="wrn.INDEPS." localSheetId="4" hidden="1">{"page1",#N/A,FALSE,"TIND_CC1";"page2",#N/A,FALSE,"TIND_CC1";"page3",#N/A,FALSE,"TIND_CC1";"page4",#N/A,FALSE,"TIND_CC1";"page5",#N/A,FALSE,"TIND_CC1"}</definedName>
    <definedName name="wrn.INDEPS." localSheetId="5" hidden="1">{"page1",#N/A,FALSE,"TIND_CC1";"page2",#N/A,FALSE,"TIND_CC1";"page3",#N/A,FALSE,"TIND_CC1";"page4",#N/A,FALSE,"TIND_CC1";"page5",#N/A,FALSE,"TIND_CC1"}</definedName>
    <definedName name="wrn.INDEPS." hidden="1">{"page1",#N/A,FALSE,"TIND_CC1";"page2",#N/A,FALSE,"TIND_CC1";"page3",#N/A,FALSE,"TIND_CC1";"page4",#N/A,FALSE,"TIND_CC1";"page5",#N/A,FALSE,"TIND_CC1"}</definedName>
    <definedName name="wrn.KOMPLETTDRUCK." localSheetId="1" hidden="1">{#N/A,#N/A,FALSE,"MARKT";#N/A,#N/A,FALSE,"TEILNEHMER";#N/A,#N/A,FALSE,"VERTRIEB";#N/A,#N/A,FALSE,"TARIFE_NO";#N/A,#N/A,FALSE,"NUTZUNG";#N/A,#N/A,FALSE,"MEHRWERT";#N/A,#N/A,FALSE,"ENDGERÄTE";#N/A,#N/A,FALSE,"UMSATZ"}</definedName>
    <definedName name="wrn.KOMPLETTDRUCK." localSheetId="3" hidden="1">{#N/A,#N/A,FALSE,"MARKT";#N/A,#N/A,FALSE,"TEILNEHMER";#N/A,#N/A,FALSE,"VERTRIEB";#N/A,#N/A,FALSE,"TARIFE_NO";#N/A,#N/A,FALSE,"NUTZUNG";#N/A,#N/A,FALSE,"MEHRWERT";#N/A,#N/A,FALSE,"ENDGERÄTE";#N/A,#N/A,FALSE,"UMSATZ"}</definedName>
    <definedName name="wrn.KOMPLETTDRUCK." localSheetId="4" hidden="1">{#N/A,#N/A,FALSE,"MARKT";#N/A,#N/A,FALSE,"TEILNEHMER";#N/A,#N/A,FALSE,"VERTRIEB";#N/A,#N/A,FALSE,"TARIFE_NO";#N/A,#N/A,FALSE,"NUTZUNG";#N/A,#N/A,FALSE,"MEHRWERT";#N/A,#N/A,FALSE,"ENDGERÄTE";#N/A,#N/A,FALSE,"UMSATZ"}</definedName>
    <definedName name="wrn.KOMPLETTDRUCK." localSheetId="5" hidden="1">{#N/A,#N/A,FALSE,"MARKT";#N/A,#N/A,FALSE,"TEILNEHMER";#N/A,#N/A,FALSE,"VERTRIEB";#N/A,#N/A,FALSE,"TARIFE_NO";#N/A,#N/A,FALSE,"NUTZUNG";#N/A,#N/A,FALSE,"MEHRWERT";#N/A,#N/A,FALSE,"ENDGERÄTE";#N/A,#N/A,FALSE,"UMSATZ"}</definedName>
    <definedName name="wrn.KOMPLETTDRUCK." hidden="1">{#N/A,#N/A,FALSE,"MARKT";#N/A,#N/A,FALSE,"TEILNEHMER";#N/A,#N/A,FALSE,"VERTRIEB";#N/A,#N/A,FALSE,"TARIFE_NO";#N/A,#N/A,FALSE,"NUTZUNG";#N/A,#N/A,FALSE,"MEHRWERT";#N/A,#N/A,FALSE,"ENDGERÄTE";#N/A,#N/A,FALSE,"UMSATZ"}</definedName>
    <definedName name="wrn.Nico." localSheetId="1" hidden="1">{#N/A,#N/A,TRUE,"Cover";#N/A,#N/A,TRUE,"Transaction Summary";#N/A,#N/A,TRUE,"Earnings Impact";#N/A,#N/A,TRUE,"accretion dilution"}</definedName>
    <definedName name="wrn.Nico." localSheetId="3" hidden="1">{#N/A,#N/A,TRUE,"Cover";#N/A,#N/A,TRUE,"Transaction Summary";#N/A,#N/A,TRUE,"Earnings Impact";#N/A,#N/A,TRUE,"accretion dilution"}</definedName>
    <definedName name="wrn.Nico." localSheetId="4" hidden="1">{#N/A,#N/A,TRUE,"Cover";#N/A,#N/A,TRUE,"Transaction Summary";#N/A,#N/A,TRUE,"Earnings Impact";#N/A,#N/A,TRUE,"accretion dilution"}</definedName>
    <definedName name="wrn.Nico." localSheetId="5" hidden="1">{#N/A,#N/A,TRUE,"Cover";#N/A,#N/A,TRUE,"Transaction Summary";#N/A,#N/A,TRUE,"Earnings Impact";#N/A,#N/A,TRUE,"accretion dilution"}</definedName>
    <definedName name="wrn.Nico." hidden="1">{#N/A,#N/A,TRUE,"Cover";#N/A,#N/A,TRUE,"Transaction Summary";#N/A,#N/A,TRUE,"Earnings Impact";#N/A,#N/A,TRUE,"accretion dilution"}</definedName>
    <definedName name="wrn.Output." localSheetId="1" hidden="1">{#N/A,#N/A,FALSE,"FY99";#N/A,#N/A,FALSE,"FY00"}</definedName>
    <definedName name="wrn.Output." localSheetId="3" hidden="1">{#N/A,#N/A,FALSE,"FY99";#N/A,#N/A,FALSE,"FY00"}</definedName>
    <definedName name="wrn.Output." localSheetId="4" hidden="1">{#N/A,#N/A,FALSE,"FY99";#N/A,#N/A,FALSE,"FY00"}</definedName>
    <definedName name="wrn.Output." localSheetId="5" hidden="1">{#N/A,#N/A,FALSE,"FY99";#N/A,#N/A,FALSE,"FY00"}</definedName>
    <definedName name="wrn.Output." hidden="1">{#N/A,#N/A,FALSE,"FY99";#N/A,#N/A,FALSE,"FY00"}</definedName>
    <definedName name="wrn.Paging._.Compco." localSheetId="1" hidden="1">{"financials",#N/A,TRUE,"6_30_96";"footnotes",#N/A,TRUE,"6_30_96";"valuation",#N/A,TRUE,"6_30_96"}</definedName>
    <definedName name="wrn.Paging._.Compco." localSheetId="3" hidden="1">{"financials",#N/A,TRUE,"6_30_96";"footnotes",#N/A,TRUE,"6_30_96";"valuation",#N/A,TRUE,"6_30_96"}</definedName>
    <definedName name="wrn.Paging._.Compco." localSheetId="4" hidden="1">{"financials",#N/A,TRUE,"6_30_96";"footnotes",#N/A,TRUE,"6_30_96";"valuation",#N/A,TRUE,"6_30_96"}</definedName>
    <definedName name="wrn.Paging._.Compco." localSheetId="5" hidden="1">{"financials",#N/A,TRUE,"6_30_96";"footnotes",#N/A,TRUE,"6_30_96";"valuation",#N/A,TRUE,"6_30_96"}</definedName>
    <definedName name="wrn.Paging._.Compco." hidden="1">{"financials",#N/A,TRUE,"6_30_96";"footnotes",#N/A,TRUE,"6_30_96";"valuation",#N/A,TRUE,"6_30_96"}</definedName>
    <definedName name="wrn.poop" localSheetId="1" hidden="1">{"Pulp Production",#N/A,FALSE,"Pulp";"Pulp Earnings",#N/A,FALSE,"Pulp"}</definedName>
    <definedName name="wrn.poop" localSheetId="3" hidden="1">{"Pulp Production",#N/A,FALSE,"Pulp";"Pulp Earnings",#N/A,FALSE,"Pulp"}</definedName>
    <definedName name="wrn.poop" localSheetId="4" hidden="1">{"Pulp Production",#N/A,FALSE,"Pulp";"Pulp Earnings",#N/A,FALSE,"Pulp"}</definedName>
    <definedName name="wrn.poop" localSheetId="5" hidden="1">{"Pulp Production",#N/A,FALSE,"Pulp";"Pulp Earnings",#N/A,FALSE,"Pulp"}</definedName>
    <definedName name="wrn.poop" hidden="1">{"Pulp Production",#N/A,FALSE,"Pulp";"Pulp Earnings",#N/A,FALSE,"Pulp"}</definedName>
    <definedName name="wrn.print." localSheetId="1" hidden="1">{"fygrow",#N/A,TRUE,"Full Year";"FYalloc",#N/A,TRUE,"Full Year";"hygrow",#N/A,TRUE,"HY Org grow";"hyalloc",#N/A,TRUE,"Half Year"}</definedName>
    <definedName name="wrn.print." localSheetId="3" hidden="1">{"fygrow",#N/A,TRUE,"Full Year";"FYalloc",#N/A,TRUE,"Full Year";"hygrow",#N/A,TRUE,"HY Org grow";"hyalloc",#N/A,TRUE,"Half Year"}</definedName>
    <definedName name="wrn.print." localSheetId="4" hidden="1">{"fygrow",#N/A,TRUE,"Full Year";"FYalloc",#N/A,TRUE,"Full Year";"hygrow",#N/A,TRUE,"HY Org grow";"hyalloc",#N/A,TRUE,"Half Year"}</definedName>
    <definedName name="wrn.print." localSheetId="5" hidden="1">{"fygrow",#N/A,TRUE,"Full Year";"FYalloc",#N/A,TRUE,"Full Year";"hygrow",#N/A,TRUE,"HY Org grow";"hyalloc",#N/A,TRUE,"Half Year"}</definedName>
    <definedName name="wrn.print." hidden="1">{"fygrow",#N/A,TRUE,"Full Year";"FYalloc",#N/A,TRUE,"Full Year";"hygrow",#N/A,TRUE,"HY Org grow";"hyalloc",#N/A,TRUE,"Half Year"}</definedName>
    <definedName name="wrn.Print._.abbreviated." localSheetId="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wrn.Print._.abbreviated." localSheetId="3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wrn.Print._.abbreviated." localSheetId="4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wrn.Print._.abbreviated." localSheetId="5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wrn.Print._.abbreviated.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wrn.Print._.all." localSheetId="1" hidden="1">{"ALL",#N/A,FALSE,"Summary";"ALL",#N/A,FALSE,"Vs LE";"all",#N/A,FALSE,"Targets";"all",#N/A,FALSE,"FLASH";"print calc",#N/A,FALSE,"Calc";"all",#N/A,FALSE,"Corporate costs";"all",#N/A,FALSE,"Corporate costs (2)"}</definedName>
    <definedName name="wrn.Print._.all." localSheetId="3" hidden="1">{"ALL",#N/A,FALSE,"Summary";"ALL",#N/A,FALSE,"Vs LE";"all",#N/A,FALSE,"Targets";"all",#N/A,FALSE,"FLASH";"print calc",#N/A,FALSE,"Calc";"all",#N/A,FALSE,"Corporate costs";"all",#N/A,FALSE,"Corporate costs (2)"}</definedName>
    <definedName name="wrn.Print._.all." localSheetId="4" hidden="1">{"ALL",#N/A,FALSE,"Summary";"ALL",#N/A,FALSE,"Vs LE";"all",#N/A,FALSE,"Targets";"all",#N/A,FALSE,"FLASH";"print calc",#N/A,FALSE,"Calc";"all",#N/A,FALSE,"Corporate costs";"all",#N/A,FALSE,"Corporate costs (2)"}</definedName>
    <definedName name="wrn.Print._.all." localSheetId="5" hidden="1">{"ALL",#N/A,FALSE,"Summary";"ALL",#N/A,FALSE,"Vs LE";"all",#N/A,FALSE,"Targets";"all",#N/A,FALSE,"FLASH";"print calc",#N/A,FALSE,"Calc";"all",#N/A,FALSE,"Corporate costs";"all",#N/A,FALSE,"Corporate costs (2)"}</definedName>
    <definedName name="wrn.Print._.all." hidden="1">{"ALL",#N/A,FALSE,"Summary";"ALL",#N/A,FALSE,"Vs LE";"all",#N/A,FALSE,"Targets";"all",#N/A,FALSE,"FLASH";"print calc",#N/A,FALSE,"Calc";"all",#N/A,FALSE,"Corporate costs";"all",#N/A,FALSE,"Corporate costs (2)"}</definedName>
    <definedName name="wrn.Print._.calc." localSheetId="1" hidden="1">{"print calc",#N/A,FALSE,"Sheet1"}</definedName>
    <definedName name="wrn.Print._.calc." localSheetId="3" hidden="1">{"print calc",#N/A,FALSE,"Sheet1"}</definedName>
    <definedName name="wrn.Print._.calc." localSheetId="4" hidden="1">{"print calc",#N/A,FALSE,"Sheet1"}</definedName>
    <definedName name="wrn.Print._.calc." localSheetId="5" hidden="1">{"print calc",#N/A,FALSE,"Sheet1"}</definedName>
    <definedName name="wrn.Print._.calc." hidden="1">{"print calc",#N/A,FALSE,"Sheet1"}</definedName>
    <definedName name="wrn.Print._.corporate." localSheetId="1" hidden="1">{"all",#N/A,FALSE,"Corporate costs";"all",#N/A,FALSE,"Corporate costs (2)"}</definedName>
    <definedName name="wrn.Print._.corporate." localSheetId="3" hidden="1">{"all",#N/A,FALSE,"Corporate costs";"all",#N/A,FALSE,"Corporate costs (2)"}</definedName>
    <definedName name="wrn.Print._.corporate." localSheetId="4" hidden="1">{"all",#N/A,FALSE,"Corporate costs";"all",#N/A,FALSE,"Corporate costs (2)"}</definedName>
    <definedName name="wrn.Print._.corporate." localSheetId="5" hidden="1">{"all",#N/A,FALSE,"Corporate costs";"all",#N/A,FALSE,"Corporate costs (2)"}</definedName>
    <definedName name="wrn.Print._.corporate." hidden="1">{"all",#N/A,FALSE,"Corporate costs";"all",#N/A,FALSE,"Corporate costs (2)"}</definedName>
    <definedName name="wrn.print._.flash." localSheetId="1" hidden="1">{"all",#N/A,FALSE,"FLASH"}</definedName>
    <definedName name="wrn.print._.flash." localSheetId="3" hidden="1">{"all",#N/A,FALSE,"FLASH"}</definedName>
    <definedName name="wrn.print._.flash." localSheetId="4" hidden="1">{"all",#N/A,FALSE,"FLASH"}</definedName>
    <definedName name="wrn.print._.flash." localSheetId="5" hidden="1">{"all",#N/A,FALSE,"FLASH"}</definedName>
    <definedName name="wrn.print._.flash." hidden="1">{"all",#N/A,FALSE,"FLASH"}</definedName>
    <definedName name="wrn.Print._.report." localSheetId="1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wrn.Print._.report." localSheetId="3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wrn.Print._.report." localSheetId="4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wrn.Print._.report." localSheetId="5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wrn.Print._.report.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wrn.Print._.slides." localSheetId="1" hidden="1">{"all",#N/A,FALSE,"Vs LE";"ALL",#N/A,FALSE,"Summary"}</definedName>
    <definedName name="wrn.Print._.slides." localSheetId="3" hidden="1">{"all",#N/A,FALSE,"Vs LE";"ALL",#N/A,FALSE,"Summary"}</definedName>
    <definedName name="wrn.Print._.slides." localSheetId="4" hidden="1">{"all",#N/A,FALSE,"Vs LE";"ALL",#N/A,FALSE,"Summary"}</definedName>
    <definedName name="wrn.Print._.slides." localSheetId="5" hidden="1">{"all",#N/A,FALSE,"Vs LE";"ALL",#N/A,FALSE,"Summary"}</definedName>
    <definedName name="wrn.Print._.slides." hidden="1">{"all",#N/A,FALSE,"Vs LE";"ALL",#N/A,FALSE,"Summary"}</definedName>
    <definedName name="wrn.Print._.synergies." localSheetId="1" hidden="1">{#N/A,#N/A,FALSE,"Synergies";#N/A,#N/A,FALSE,"Synergies (1)";#N/A,#N/A,FALSE,"Synergies (2)"}</definedName>
    <definedName name="wrn.Print._.synergies." localSheetId="3" hidden="1">{#N/A,#N/A,FALSE,"Synergies";#N/A,#N/A,FALSE,"Synergies (1)";#N/A,#N/A,FALSE,"Synergies (2)"}</definedName>
    <definedName name="wrn.Print._.synergies." localSheetId="4" hidden="1">{#N/A,#N/A,FALSE,"Synergies";#N/A,#N/A,FALSE,"Synergies (1)";#N/A,#N/A,FALSE,"Synergies (2)"}</definedName>
    <definedName name="wrn.Print._.synergies." localSheetId="5" hidden="1">{#N/A,#N/A,FALSE,"Synergies";#N/A,#N/A,FALSE,"Synergies (1)";#N/A,#N/A,FALSE,"Synergies (2)"}</definedName>
    <definedName name="wrn.Print._.synergies." hidden="1">{#N/A,#N/A,FALSE,"Synergies";#N/A,#N/A,FALSE,"Synergies (1)";#N/A,#N/A,FALSE,"Synergies (2)"}</definedName>
    <definedName name="wrn.printall." localSheetId="1" hidden="1">{"summary",#N/A,FALSE,"Sum";"sum op",#N/A,FALSE,"Sum OP";"op hy",#N/A,FALSE,"Sum OP (HY)";"sum tp",#N/A,FALSE,"Sum TP";"udv",#N/A,FALSE,"UDV";"tpc",#N/A,FALSE,"Pillsbury";"guinness",#N/A,FALSE,"Guinness";"bk",#N/A,FALSE,"BK";"fx",#N/A,FALSE,"FX";"assocs",#N/A,FALSE,"Assoc1";"assocs",#N/A,FALSE,"Assoc2"}</definedName>
    <definedName name="wrn.printall." localSheetId="3" hidden="1">{"summary",#N/A,FALSE,"Sum";"sum op",#N/A,FALSE,"Sum OP";"op hy",#N/A,FALSE,"Sum OP (HY)";"sum tp",#N/A,FALSE,"Sum TP";"udv",#N/A,FALSE,"UDV";"tpc",#N/A,FALSE,"Pillsbury";"guinness",#N/A,FALSE,"Guinness";"bk",#N/A,FALSE,"BK";"fx",#N/A,FALSE,"FX";"assocs",#N/A,FALSE,"Assoc1";"assocs",#N/A,FALSE,"Assoc2"}</definedName>
    <definedName name="wrn.printall." localSheetId="4" hidden="1">{"summary",#N/A,FALSE,"Sum";"sum op",#N/A,FALSE,"Sum OP";"op hy",#N/A,FALSE,"Sum OP (HY)";"sum tp",#N/A,FALSE,"Sum TP";"udv",#N/A,FALSE,"UDV";"tpc",#N/A,FALSE,"Pillsbury";"guinness",#N/A,FALSE,"Guinness";"bk",#N/A,FALSE,"BK";"fx",#N/A,FALSE,"FX";"assocs",#N/A,FALSE,"Assoc1";"assocs",#N/A,FALSE,"Assoc2"}</definedName>
    <definedName name="wrn.printall." localSheetId="5" hidden="1">{"summary",#N/A,FALSE,"Sum";"sum op",#N/A,FALSE,"Sum OP";"op hy",#N/A,FALSE,"Sum OP (HY)";"sum tp",#N/A,FALSE,"Sum TP";"udv",#N/A,FALSE,"UDV";"tpc",#N/A,FALSE,"Pillsbury";"guinness",#N/A,FALSE,"Guinness";"bk",#N/A,FALSE,"BK";"fx",#N/A,FALSE,"FX";"assocs",#N/A,FALSE,"Assoc1";"assocs",#N/A,FALSE,"Assoc2"}</definedName>
    <definedName name="wrn.printall." hidden="1">{"summary",#N/A,FALSE,"Sum";"sum op",#N/A,FALSE,"Sum OP";"op hy",#N/A,FALSE,"Sum OP (HY)";"sum tp",#N/A,FALSE,"Sum TP";"udv",#N/A,FALSE,"UDV";"tpc",#N/A,FALSE,"Pillsbury";"guinness",#N/A,FALSE,"Guinness";"bk",#N/A,FALSE,"BK";"fx",#N/A,FALSE,"FX";"assocs",#N/A,FALSE,"Assoc1";"assocs",#N/A,FALSE,"Assoc2"}</definedName>
    <definedName name="wrn.Pulp." localSheetId="1" hidden="1">{"Pulp Production",#N/A,FALSE,"Pulp";"Pulp Earnings",#N/A,FALSE,"Pulp"}</definedName>
    <definedName name="wrn.Pulp." localSheetId="3" hidden="1">{"Pulp Production",#N/A,FALSE,"Pulp";"Pulp Earnings",#N/A,FALSE,"Pulp"}</definedName>
    <definedName name="wrn.Pulp." localSheetId="4" hidden="1">{"Pulp Production",#N/A,FALSE,"Pulp";"Pulp Earnings",#N/A,FALSE,"Pulp"}</definedName>
    <definedName name="wrn.Pulp." localSheetId="5" hidden="1">{"Pulp Production",#N/A,FALSE,"Pulp";"Pulp Earnings",#N/A,FALSE,"Pulp"}</definedName>
    <definedName name="wrn.Pulp." hidden="1">{"Pulp Production",#N/A,FALSE,"Pulp";"Pulp Earnings",#N/A,FALSE,"Pulp"}</definedName>
    <definedName name="wrn.Pulp.2" localSheetId="1" hidden="1">{"Pulp Production",#N/A,FALSE,"Pulp";"Pulp Earnings",#N/A,FALSE,"Pulp"}</definedName>
    <definedName name="wrn.Pulp.2" localSheetId="3" hidden="1">{"Pulp Production",#N/A,FALSE,"Pulp";"Pulp Earnings",#N/A,FALSE,"Pulp"}</definedName>
    <definedName name="wrn.Pulp.2" localSheetId="4" hidden="1">{"Pulp Production",#N/A,FALSE,"Pulp";"Pulp Earnings",#N/A,FALSE,"Pulp"}</definedName>
    <definedName name="wrn.Pulp.2" localSheetId="5" hidden="1">{"Pulp Production",#N/A,FALSE,"Pulp";"Pulp Earnings",#N/A,FALSE,"Pulp"}</definedName>
    <definedName name="wrn.Pulp.2" hidden="1">{"Pulp Production",#N/A,FALSE,"Pulp";"Pulp Earnings",#N/A,FALSE,"Pulp"}</definedName>
    <definedName name="wrn.Pulp.3" localSheetId="1" hidden="1">{"Pulp Production",#N/A,FALSE,"Pulp";"Pulp Earnings",#N/A,FALSE,"Pulp"}</definedName>
    <definedName name="wrn.Pulp.3" localSheetId="3" hidden="1">{"Pulp Production",#N/A,FALSE,"Pulp";"Pulp Earnings",#N/A,FALSE,"Pulp"}</definedName>
    <definedName name="wrn.Pulp.3" localSheetId="4" hidden="1">{"Pulp Production",#N/A,FALSE,"Pulp";"Pulp Earnings",#N/A,FALSE,"Pulp"}</definedName>
    <definedName name="wrn.Pulp.3" localSheetId="5" hidden="1">{"Pulp Production",#N/A,FALSE,"Pulp";"Pulp Earnings",#N/A,FALSE,"Pulp"}</definedName>
    <definedName name="wrn.Pulp.3" hidden="1">{"Pulp Production",#N/A,FALSE,"Pulp";"Pulp Earnings",#N/A,FALSE,"Pulp"}</definedName>
    <definedName name="wrn.QQ_Quick_Merge_3yr." localSheetId="1" hidden="1">{"Cover",#N/A,FALSE,"Cover";"trans_sum_print",#N/A,FALSE,"Transaction Summary";"earnings_impact_3yr",#N/A,FALSE,"Earnings Impact";"accr_dil_3yr",#N/A,FALSE,"accretion dilution";"prof_inc_stmt_3yr",#N/A,FALSE,"Pro Forma Income Statement";"contr_anal_3yr",#N/A,FALSE,"Contribution_Analysis";"Acquiror_3yr",#N/A,FALSE,"Acquirer";"Target_3yr",#N/A,FALSE,"Target";"HasGets-3yr",#N/A,FALSE,"Has-Gets"}</definedName>
    <definedName name="wrn.QQ_Quick_Merge_3yr." localSheetId="3" hidden="1">{"Cover",#N/A,FALSE,"Cover";"trans_sum_print",#N/A,FALSE,"Transaction Summary";"earnings_impact_3yr",#N/A,FALSE,"Earnings Impact";"accr_dil_3yr",#N/A,FALSE,"accretion dilution";"prof_inc_stmt_3yr",#N/A,FALSE,"Pro Forma Income Statement";"contr_anal_3yr",#N/A,FALSE,"Contribution_Analysis";"Acquiror_3yr",#N/A,FALSE,"Acquirer";"Target_3yr",#N/A,FALSE,"Target";"HasGets-3yr",#N/A,FALSE,"Has-Gets"}</definedName>
    <definedName name="wrn.QQ_Quick_Merge_3yr." localSheetId="4" hidden="1">{"Cover",#N/A,FALSE,"Cover";"trans_sum_print",#N/A,FALSE,"Transaction Summary";"earnings_impact_3yr",#N/A,FALSE,"Earnings Impact";"accr_dil_3yr",#N/A,FALSE,"accretion dilution";"prof_inc_stmt_3yr",#N/A,FALSE,"Pro Forma Income Statement";"contr_anal_3yr",#N/A,FALSE,"Contribution_Analysis";"Acquiror_3yr",#N/A,FALSE,"Acquirer";"Target_3yr",#N/A,FALSE,"Target";"HasGets-3yr",#N/A,FALSE,"Has-Gets"}</definedName>
    <definedName name="wrn.QQ_Quick_Merge_3yr." localSheetId="5" hidden="1">{"Cover",#N/A,FALSE,"Cover";"trans_sum_print",#N/A,FALSE,"Transaction Summary";"earnings_impact_3yr",#N/A,FALSE,"Earnings Impact";"accr_dil_3yr",#N/A,FALSE,"accretion dilution";"prof_inc_stmt_3yr",#N/A,FALSE,"Pro Forma Income Statement";"contr_anal_3yr",#N/A,FALSE,"Contribution_Analysis";"Acquiror_3yr",#N/A,FALSE,"Acquirer";"Target_3yr",#N/A,FALSE,"Target";"HasGets-3yr",#N/A,FALSE,"Has-Gets"}</definedName>
    <definedName name="wrn.QQ_Quick_Merge_3yr." hidden="1">{"Cover",#N/A,FALSE,"Cover";"trans_sum_print",#N/A,FALSE,"Transaction Summary";"earnings_impact_3yr",#N/A,FALSE,"Earnings Impact";"accr_dil_3yr",#N/A,FALSE,"accretion dilution";"prof_inc_stmt_3yr",#N/A,FALSE,"Pro Forma Income Statement";"contr_anal_3yr",#N/A,FALSE,"Contribution_Analysis";"Acquiror_3yr",#N/A,FALSE,"Acquirer";"Target_3yr",#N/A,FALSE,"Target";"HasGets-3yr",#N/A,FALSE,"Has-Gets"}</definedName>
    <definedName name="wrn.QQ_Quick_Merge_4yr." localSheetId="1" hidden="1">{"Cover",#N/A,FALSE,"Cover";"trans_sum_print",#N/A,FALSE,"Transaction Summary";"earnings_impact_4yr",#N/A,FALSE,"Earnings Impact";"accr_dil_4yr",#N/A,FALSE,"accretion dilution";"prof_inc_stmt_4yr",#N/A,FALSE,"Pro Forma Income Statement";"contr_anal_4yr",#N/A,FALSE,"Contribution_Analysis";"Target_4yr",#N/A,FALSE,"Target";"Acquiror_4yr",#N/A,FALSE,"Acquirer";"HasGets-4yr",#N/A,FALSE,"Has-Gets"}</definedName>
    <definedName name="wrn.QQ_Quick_Merge_4yr." localSheetId="3" hidden="1">{"Cover",#N/A,FALSE,"Cover";"trans_sum_print",#N/A,FALSE,"Transaction Summary";"earnings_impact_4yr",#N/A,FALSE,"Earnings Impact";"accr_dil_4yr",#N/A,FALSE,"accretion dilution";"prof_inc_stmt_4yr",#N/A,FALSE,"Pro Forma Income Statement";"contr_anal_4yr",#N/A,FALSE,"Contribution_Analysis";"Target_4yr",#N/A,FALSE,"Target";"Acquiror_4yr",#N/A,FALSE,"Acquirer";"HasGets-4yr",#N/A,FALSE,"Has-Gets"}</definedName>
    <definedName name="wrn.QQ_Quick_Merge_4yr." localSheetId="4" hidden="1">{"Cover",#N/A,FALSE,"Cover";"trans_sum_print",#N/A,FALSE,"Transaction Summary";"earnings_impact_4yr",#N/A,FALSE,"Earnings Impact";"accr_dil_4yr",#N/A,FALSE,"accretion dilution";"prof_inc_stmt_4yr",#N/A,FALSE,"Pro Forma Income Statement";"contr_anal_4yr",#N/A,FALSE,"Contribution_Analysis";"Target_4yr",#N/A,FALSE,"Target";"Acquiror_4yr",#N/A,FALSE,"Acquirer";"HasGets-4yr",#N/A,FALSE,"Has-Gets"}</definedName>
    <definedName name="wrn.QQ_Quick_Merge_4yr." localSheetId="5" hidden="1">{"Cover",#N/A,FALSE,"Cover";"trans_sum_print",#N/A,FALSE,"Transaction Summary";"earnings_impact_4yr",#N/A,FALSE,"Earnings Impact";"accr_dil_4yr",#N/A,FALSE,"accretion dilution";"prof_inc_stmt_4yr",#N/A,FALSE,"Pro Forma Income Statement";"contr_anal_4yr",#N/A,FALSE,"Contribution_Analysis";"Target_4yr",#N/A,FALSE,"Target";"Acquiror_4yr",#N/A,FALSE,"Acquirer";"HasGets-4yr",#N/A,FALSE,"Has-Gets"}</definedName>
    <definedName name="wrn.QQ_Quick_Merge_4yr." hidden="1">{"Cover",#N/A,FALSE,"Cover";"trans_sum_print",#N/A,FALSE,"Transaction Summary";"earnings_impact_4yr",#N/A,FALSE,"Earnings Impact";"accr_dil_4yr",#N/A,FALSE,"accretion dilution";"prof_inc_stmt_4yr",#N/A,FALSE,"Pro Forma Income Statement";"contr_anal_4yr",#N/A,FALSE,"Contribution_Analysis";"Target_4yr",#N/A,FALSE,"Target";"Acquiror_4yr",#N/A,FALSE,"Acquirer";"HasGets-4yr",#N/A,FALSE,"Has-Gets"}</definedName>
    <definedName name="wrn.QQ_Quick_Merge_5yr." localSheetId="1" hidden="1">{"Cover",#N/A,FALSE,"Cover";"trans_sum_print",#N/A,FALSE,"Transaction Summary";"earnings_impact_5yr",#N/A,FALSE,"Earnings Impact";"accr_dil_5yr",#N/A,FALSE,"accretion dilution";"prof_inc_stmt_5yr",#N/A,FALSE,"Pro Forma Income Statement";"contr_anal_5yr",#N/A,FALSE,"Contribution_Analysis";"Acquiror_5yr",#N/A,FALSE,"Acquirer";"Target_5yr",#N/A,FALSE,"Target";"HasGets-yr5",#N/A,FALSE,"Has-Gets"}</definedName>
    <definedName name="wrn.QQ_Quick_Merge_5yr." localSheetId="3" hidden="1">{"Cover",#N/A,FALSE,"Cover";"trans_sum_print",#N/A,FALSE,"Transaction Summary";"earnings_impact_5yr",#N/A,FALSE,"Earnings Impact";"accr_dil_5yr",#N/A,FALSE,"accretion dilution";"prof_inc_stmt_5yr",#N/A,FALSE,"Pro Forma Income Statement";"contr_anal_5yr",#N/A,FALSE,"Contribution_Analysis";"Acquiror_5yr",#N/A,FALSE,"Acquirer";"Target_5yr",#N/A,FALSE,"Target";"HasGets-yr5",#N/A,FALSE,"Has-Gets"}</definedName>
    <definedName name="wrn.QQ_Quick_Merge_5yr." localSheetId="4" hidden="1">{"Cover",#N/A,FALSE,"Cover";"trans_sum_print",#N/A,FALSE,"Transaction Summary";"earnings_impact_5yr",#N/A,FALSE,"Earnings Impact";"accr_dil_5yr",#N/A,FALSE,"accretion dilution";"prof_inc_stmt_5yr",#N/A,FALSE,"Pro Forma Income Statement";"contr_anal_5yr",#N/A,FALSE,"Contribution_Analysis";"Acquiror_5yr",#N/A,FALSE,"Acquirer";"Target_5yr",#N/A,FALSE,"Target";"HasGets-yr5",#N/A,FALSE,"Has-Gets"}</definedName>
    <definedName name="wrn.QQ_Quick_Merge_5yr." localSheetId="5" hidden="1">{"Cover",#N/A,FALSE,"Cover";"trans_sum_print",#N/A,FALSE,"Transaction Summary";"earnings_impact_5yr",#N/A,FALSE,"Earnings Impact";"accr_dil_5yr",#N/A,FALSE,"accretion dilution";"prof_inc_stmt_5yr",#N/A,FALSE,"Pro Forma Income Statement";"contr_anal_5yr",#N/A,FALSE,"Contribution_Analysis";"Acquiror_5yr",#N/A,FALSE,"Acquirer";"Target_5yr",#N/A,FALSE,"Target";"HasGets-yr5",#N/A,FALSE,"Has-Gets"}</definedName>
    <definedName name="wrn.QQ_Quick_Merge_5yr." hidden="1">{"Cover",#N/A,FALSE,"Cover";"trans_sum_print",#N/A,FALSE,"Transaction Summary";"earnings_impact_5yr",#N/A,FALSE,"Earnings Impact";"accr_dil_5yr",#N/A,FALSE,"accretion dilution";"prof_inc_stmt_5yr",#N/A,FALSE,"Pro Forma Income Statement";"contr_anal_5yr",#N/A,FALSE,"Contribution_Analysis";"Acquiror_5yr",#N/A,FALSE,"Acquirer";"Target_5yr",#N/A,FALSE,"Target";"HasGets-yr5",#N/A,FALSE,"Has-Gets"}</definedName>
    <definedName name="wrn.QQ_Quick_Merge_6yr." localSheetId="1" hidden="1">{"Cover",#N/A,FALSE,"Cover";"trans_sum_print",#N/A,FALSE,"Transaction Summary";"earnings_impact_6yr",#N/A,FALSE,"Earnings Impact";"accr_dil_6yr",#N/A,FALSE,"accretion dilution";"prof_inc_stmt_6yr",#N/A,FALSE,"Pro Forma Income Statement";"contr_anal_6yr",#N/A,FALSE,"Contribution_Analysis";"Acquiror_6yr",#N/A,FALSE,"Acquirer";"Target_6yr",#N/A,FALSE,"Target";"HasGets-yr6",#N/A,FALSE,"Has-Gets"}</definedName>
    <definedName name="wrn.QQ_Quick_Merge_6yr." localSheetId="3" hidden="1">{"Cover",#N/A,FALSE,"Cover";"trans_sum_print",#N/A,FALSE,"Transaction Summary";"earnings_impact_6yr",#N/A,FALSE,"Earnings Impact";"accr_dil_6yr",#N/A,FALSE,"accretion dilution";"prof_inc_stmt_6yr",#N/A,FALSE,"Pro Forma Income Statement";"contr_anal_6yr",#N/A,FALSE,"Contribution_Analysis";"Acquiror_6yr",#N/A,FALSE,"Acquirer";"Target_6yr",#N/A,FALSE,"Target";"HasGets-yr6",#N/A,FALSE,"Has-Gets"}</definedName>
    <definedName name="wrn.QQ_Quick_Merge_6yr." localSheetId="4" hidden="1">{"Cover",#N/A,FALSE,"Cover";"trans_sum_print",#N/A,FALSE,"Transaction Summary";"earnings_impact_6yr",#N/A,FALSE,"Earnings Impact";"accr_dil_6yr",#N/A,FALSE,"accretion dilution";"prof_inc_stmt_6yr",#N/A,FALSE,"Pro Forma Income Statement";"contr_anal_6yr",#N/A,FALSE,"Contribution_Analysis";"Acquiror_6yr",#N/A,FALSE,"Acquirer";"Target_6yr",#N/A,FALSE,"Target";"HasGets-yr6",#N/A,FALSE,"Has-Gets"}</definedName>
    <definedName name="wrn.QQ_Quick_Merge_6yr." localSheetId="5" hidden="1">{"Cover",#N/A,FALSE,"Cover";"trans_sum_print",#N/A,FALSE,"Transaction Summary";"earnings_impact_6yr",#N/A,FALSE,"Earnings Impact";"accr_dil_6yr",#N/A,FALSE,"accretion dilution";"prof_inc_stmt_6yr",#N/A,FALSE,"Pro Forma Income Statement";"contr_anal_6yr",#N/A,FALSE,"Contribution_Analysis";"Acquiror_6yr",#N/A,FALSE,"Acquirer";"Target_6yr",#N/A,FALSE,"Target";"HasGets-yr6",#N/A,FALSE,"Has-Gets"}</definedName>
    <definedName name="wrn.QQ_Quick_Merge_6yr." hidden="1">{"Cover",#N/A,FALSE,"Cover";"trans_sum_print",#N/A,FALSE,"Transaction Summary";"earnings_impact_6yr",#N/A,FALSE,"Earnings Impact";"accr_dil_6yr",#N/A,FALSE,"accretion dilution";"prof_inc_stmt_6yr",#N/A,FALSE,"Pro Forma Income Statement";"contr_anal_6yr",#N/A,FALSE,"Contribution_Analysis";"Acquiror_6yr",#N/A,FALSE,"Acquirer";"Target_6yr",#N/A,FALSE,"Target";"HasGets-yr6",#N/A,FALSE,"Has-Gets"}</definedName>
    <definedName name="wrn.QQQ_Quick_Merge_3yr." localSheetId="1" hidden="1">{"Cover",#N/A,FALSE,"Cover";"trans_sum_print",#N/A,FALSE,"Transaction Summary";"earnings_impact_3yrQQ",#N/A,FALSE,"Earnings Impact";"accr_dil_3yr",#N/A,FALSE,"accretion dilution"}</definedName>
    <definedName name="wrn.QQQ_Quick_Merge_3yr." localSheetId="3" hidden="1">{"Cover",#N/A,FALSE,"Cover";"trans_sum_print",#N/A,FALSE,"Transaction Summary";"earnings_impact_3yrQQ",#N/A,FALSE,"Earnings Impact";"accr_dil_3yr",#N/A,FALSE,"accretion dilution"}</definedName>
    <definedName name="wrn.QQQ_Quick_Merge_3yr." localSheetId="4" hidden="1">{"Cover",#N/A,FALSE,"Cover";"trans_sum_print",#N/A,FALSE,"Transaction Summary";"earnings_impact_3yrQQ",#N/A,FALSE,"Earnings Impact";"accr_dil_3yr",#N/A,FALSE,"accretion dilution"}</definedName>
    <definedName name="wrn.QQQ_Quick_Merge_3yr." localSheetId="5" hidden="1">{"Cover",#N/A,FALSE,"Cover";"trans_sum_print",#N/A,FALSE,"Transaction Summary";"earnings_impact_3yrQQ",#N/A,FALSE,"Earnings Impact";"accr_dil_3yr",#N/A,FALSE,"accretion dilution"}</definedName>
    <definedName name="wrn.QQQ_Quick_Merge_3yr." hidden="1">{"Cover",#N/A,FALSE,"Cover";"trans_sum_print",#N/A,FALSE,"Transaction Summary";"earnings_impact_3yrQQ",#N/A,FALSE,"Earnings Impact";"accr_dil_3yr",#N/A,FALSE,"accretion dilution"}</definedName>
    <definedName name="wrn.QQQ_Quick_Merge_4yr." localSheetId="1" hidden="1">{"Cover",#N/A,FALSE,"Cover";"trans_sum_print",#N/A,FALSE,"Transaction Summary";"earnings_impact_4yrQQ",#N/A,FALSE,"Earnings Impact";"accr_dil_4yr",#N/A,FALSE,"accretion dilution"}</definedName>
    <definedName name="wrn.QQQ_Quick_Merge_4yr." localSheetId="3" hidden="1">{"Cover",#N/A,FALSE,"Cover";"trans_sum_print",#N/A,FALSE,"Transaction Summary";"earnings_impact_4yrQQ",#N/A,FALSE,"Earnings Impact";"accr_dil_4yr",#N/A,FALSE,"accretion dilution"}</definedName>
    <definedName name="wrn.QQQ_Quick_Merge_4yr." localSheetId="4" hidden="1">{"Cover",#N/A,FALSE,"Cover";"trans_sum_print",#N/A,FALSE,"Transaction Summary";"earnings_impact_4yrQQ",#N/A,FALSE,"Earnings Impact";"accr_dil_4yr",#N/A,FALSE,"accretion dilution"}</definedName>
    <definedName name="wrn.QQQ_Quick_Merge_4yr." localSheetId="5" hidden="1">{"Cover",#N/A,FALSE,"Cover";"trans_sum_print",#N/A,FALSE,"Transaction Summary";"earnings_impact_4yrQQ",#N/A,FALSE,"Earnings Impact";"accr_dil_4yr",#N/A,FALSE,"accretion dilution"}</definedName>
    <definedName name="wrn.QQQ_Quick_Merge_4yr." hidden="1">{"Cover",#N/A,FALSE,"Cover";"trans_sum_print",#N/A,FALSE,"Transaction Summary";"earnings_impact_4yrQQ",#N/A,FALSE,"Earnings Impact";"accr_dil_4yr",#N/A,FALSE,"accretion dilution"}</definedName>
    <definedName name="wrn.QQQ_Quick_Merge_5yr." localSheetId="1" hidden="1">{"Cover",#N/A,FALSE,"Cover";"trans_sum_print",#N/A,FALSE,"Transaction Summary";"earnings_impact_5yrQQ",#N/A,FALSE,"Earnings Impact";"accr_dil_5yr",#N/A,FALSE,"accretion dilution"}</definedName>
    <definedName name="wrn.QQQ_Quick_Merge_5yr." localSheetId="3" hidden="1">{"Cover",#N/A,FALSE,"Cover";"trans_sum_print",#N/A,FALSE,"Transaction Summary";"earnings_impact_5yrQQ",#N/A,FALSE,"Earnings Impact";"accr_dil_5yr",#N/A,FALSE,"accretion dilution"}</definedName>
    <definedName name="wrn.QQQ_Quick_Merge_5yr." localSheetId="4" hidden="1">{"Cover",#N/A,FALSE,"Cover";"trans_sum_print",#N/A,FALSE,"Transaction Summary";"earnings_impact_5yrQQ",#N/A,FALSE,"Earnings Impact";"accr_dil_5yr",#N/A,FALSE,"accretion dilution"}</definedName>
    <definedName name="wrn.QQQ_Quick_Merge_5yr." localSheetId="5" hidden="1">{"Cover",#N/A,FALSE,"Cover";"trans_sum_print",#N/A,FALSE,"Transaction Summary";"earnings_impact_5yrQQ",#N/A,FALSE,"Earnings Impact";"accr_dil_5yr",#N/A,FALSE,"accretion dilution"}</definedName>
    <definedName name="wrn.QQQ_Quick_Merge_5yr." hidden="1">{"Cover",#N/A,FALSE,"Cover";"trans_sum_print",#N/A,FALSE,"Transaction Summary";"earnings_impact_5yrQQ",#N/A,FALSE,"Earnings Impact";"accr_dil_5yr",#N/A,FALSE,"accretion dilution"}</definedName>
    <definedName name="wrn.QQQ_Quick_Merge_6yr." localSheetId="1" hidden="1">{"Cover",#N/A,FALSE,"Cover";"trans_sum_print",#N/A,FALSE,"Transaction Summary";"earnings_impact_6yrQQ",#N/A,FALSE,"Earnings Impact";"accr_dil_6yr",#N/A,FALSE,"accretion dilution"}</definedName>
    <definedName name="wrn.QQQ_Quick_Merge_6yr." localSheetId="3" hidden="1">{"Cover",#N/A,FALSE,"Cover";"trans_sum_print",#N/A,FALSE,"Transaction Summary";"earnings_impact_6yrQQ",#N/A,FALSE,"Earnings Impact";"accr_dil_6yr",#N/A,FALSE,"accretion dilution"}</definedName>
    <definedName name="wrn.QQQ_Quick_Merge_6yr." localSheetId="4" hidden="1">{"Cover",#N/A,FALSE,"Cover";"trans_sum_print",#N/A,FALSE,"Transaction Summary";"earnings_impact_6yrQQ",#N/A,FALSE,"Earnings Impact";"accr_dil_6yr",#N/A,FALSE,"accretion dilution"}</definedName>
    <definedName name="wrn.QQQ_Quick_Merge_6yr." localSheetId="5" hidden="1">{"Cover",#N/A,FALSE,"Cover";"trans_sum_print",#N/A,FALSE,"Transaction Summary";"earnings_impact_6yrQQ",#N/A,FALSE,"Earnings Impact";"accr_dil_6yr",#N/A,FALSE,"accretion dilution"}</definedName>
    <definedName name="wrn.QQQ_Quick_Merge_6yr." hidden="1">{"Cover",#N/A,FALSE,"Cover";"trans_sum_print",#N/A,FALSE,"Transaction Summary";"earnings_impact_6yrQQ",#N/A,FALSE,"Earnings Impact";"accr_dil_6yr",#N/A,FALSE,"accretion dilution"}</definedName>
    <definedName name="wrn.Quick_Merge_3yr." localSheetId="1" hidden="1">{"Cover",#N/A,FALSE,"Cover";"trans_sum_debt",#N/A,FALSE,"Transaction_Sum_debt_Stats";"earnings_impact_3yr",#N/A,FALSE,"Earnings Impact";"accr_dil_3yr",#N/A,FALSE,"accretion dilution";"prof_inc_stmt_3yr",#N/A,FALSE,"Pro Forma Income Statement";"contr_anal_3yr",#N/A,FALSE,"Contribution_Analysis";"bal_adj",#N/A,FALSE,"Pro Forma Balance Sheet";"Acquiror_3yr",#N/A,FALSE,"Acquirer";"Target_3yr",#N/A,FALSE,"Target";"HasGets-3yr",#N/A,FALSE,"Has-Gets"}</definedName>
    <definedName name="wrn.Quick_Merge_3yr." localSheetId="3" hidden="1">{"Cover",#N/A,FALSE,"Cover";"trans_sum_debt",#N/A,FALSE,"Transaction_Sum_debt_Stats";"earnings_impact_3yr",#N/A,FALSE,"Earnings Impact";"accr_dil_3yr",#N/A,FALSE,"accretion dilution";"prof_inc_stmt_3yr",#N/A,FALSE,"Pro Forma Income Statement";"contr_anal_3yr",#N/A,FALSE,"Contribution_Analysis";"bal_adj",#N/A,FALSE,"Pro Forma Balance Sheet";"Acquiror_3yr",#N/A,FALSE,"Acquirer";"Target_3yr",#N/A,FALSE,"Target";"HasGets-3yr",#N/A,FALSE,"Has-Gets"}</definedName>
    <definedName name="wrn.Quick_Merge_3yr." localSheetId="4" hidden="1">{"Cover",#N/A,FALSE,"Cover";"trans_sum_debt",#N/A,FALSE,"Transaction_Sum_debt_Stats";"earnings_impact_3yr",#N/A,FALSE,"Earnings Impact";"accr_dil_3yr",#N/A,FALSE,"accretion dilution";"prof_inc_stmt_3yr",#N/A,FALSE,"Pro Forma Income Statement";"contr_anal_3yr",#N/A,FALSE,"Contribution_Analysis";"bal_adj",#N/A,FALSE,"Pro Forma Balance Sheet";"Acquiror_3yr",#N/A,FALSE,"Acquirer";"Target_3yr",#N/A,FALSE,"Target";"HasGets-3yr",#N/A,FALSE,"Has-Gets"}</definedName>
    <definedName name="wrn.Quick_Merge_3yr." localSheetId="5" hidden="1">{"Cover",#N/A,FALSE,"Cover";"trans_sum_debt",#N/A,FALSE,"Transaction_Sum_debt_Stats";"earnings_impact_3yr",#N/A,FALSE,"Earnings Impact";"accr_dil_3yr",#N/A,FALSE,"accretion dilution";"prof_inc_stmt_3yr",#N/A,FALSE,"Pro Forma Income Statement";"contr_anal_3yr",#N/A,FALSE,"Contribution_Analysis";"bal_adj",#N/A,FALSE,"Pro Forma Balance Sheet";"Acquiror_3yr",#N/A,FALSE,"Acquirer";"Target_3yr",#N/A,FALSE,"Target";"HasGets-3yr",#N/A,FALSE,"Has-Gets"}</definedName>
    <definedName name="wrn.Quick_Merge_3yr." hidden="1">{"Cover",#N/A,FALSE,"Cover";"trans_sum_debt",#N/A,FALSE,"Transaction_Sum_debt_Stats";"earnings_impact_3yr",#N/A,FALSE,"Earnings Impact";"accr_dil_3yr",#N/A,FALSE,"accretion dilution";"prof_inc_stmt_3yr",#N/A,FALSE,"Pro Forma Income Statement";"contr_anal_3yr",#N/A,FALSE,"Contribution_Analysis";"bal_adj",#N/A,FALSE,"Pro Forma Balance Sheet";"Acquiror_3yr",#N/A,FALSE,"Acquirer";"Target_3yr",#N/A,FALSE,"Target";"HasGets-3yr",#N/A,FALSE,"Has-Gets"}</definedName>
    <definedName name="wrn.Quick_Merge_4yr." localSheetId="1" hidden="1">{"Cover",#N/A,FALSE,"Cover";"trans_sum_debt",#N/A,FALSE,"Transaction_Sum_debt_Stats";"earnings_impact_4yr",#N/A,FALSE,"Earnings Impact";"accr_dil_4yr",#N/A,FALSE,"accretion dilution";"prof_inc_stmt_4yr",#N/A,FALSE,"Pro Forma Income Statement";"contr_anal_4yr",#N/A,FALSE,"Contribution_Analysis";"bal_adj",#N/A,FALSE,"Pro Forma Balance Sheet";"Acquiror_4yr",#N/A,FALSE,"Acquirer";"Target_4yr",#N/A,FALSE,"Target";"HasGets-4yr",#N/A,FALSE,"Has-Gets"}</definedName>
    <definedName name="wrn.Quick_Merge_4yr." localSheetId="3" hidden="1">{"Cover",#N/A,FALSE,"Cover";"trans_sum_debt",#N/A,FALSE,"Transaction_Sum_debt_Stats";"earnings_impact_4yr",#N/A,FALSE,"Earnings Impact";"accr_dil_4yr",#N/A,FALSE,"accretion dilution";"prof_inc_stmt_4yr",#N/A,FALSE,"Pro Forma Income Statement";"contr_anal_4yr",#N/A,FALSE,"Contribution_Analysis";"bal_adj",#N/A,FALSE,"Pro Forma Balance Sheet";"Acquiror_4yr",#N/A,FALSE,"Acquirer";"Target_4yr",#N/A,FALSE,"Target";"HasGets-4yr",#N/A,FALSE,"Has-Gets"}</definedName>
    <definedName name="wrn.Quick_Merge_4yr." localSheetId="4" hidden="1">{"Cover",#N/A,FALSE,"Cover";"trans_sum_debt",#N/A,FALSE,"Transaction_Sum_debt_Stats";"earnings_impact_4yr",#N/A,FALSE,"Earnings Impact";"accr_dil_4yr",#N/A,FALSE,"accretion dilution";"prof_inc_stmt_4yr",#N/A,FALSE,"Pro Forma Income Statement";"contr_anal_4yr",#N/A,FALSE,"Contribution_Analysis";"bal_adj",#N/A,FALSE,"Pro Forma Balance Sheet";"Acquiror_4yr",#N/A,FALSE,"Acquirer";"Target_4yr",#N/A,FALSE,"Target";"HasGets-4yr",#N/A,FALSE,"Has-Gets"}</definedName>
    <definedName name="wrn.Quick_Merge_4yr." localSheetId="5" hidden="1">{"Cover",#N/A,FALSE,"Cover";"trans_sum_debt",#N/A,FALSE,"Transaction_Sum_debt_Stats";"earnings_impact_4yr",#N/A,FALSE,"Earnings Impact";"accr_dil_4yr",#N/A,FALSE,"accretion dilution";"prof_inc_stmt_4yr",#N/A,FALSE,"Pro Forma Income Statement";"contr_anal_4yr",#N/A,FALSE,"Contribution_Analysis";"bal_adj",#N/A,FALSE,"Pro Forma Balance Sheet";"Acquiror_4yr",#N/A,FALSE,"Acquirer";"Target_4yr",#N/A,FALSE,"Target";"HasGets-4yr",#N/A,FALSE,"Has-Gets"}</definedName>
    <definedName name="wrn.Quick_Merge_4yr." hidden="1">{"Cover",#N/A,FALSE,"Cover";"trans_sum_debt",#N/A,FALSE,"Transaction_Sum_debt_Stats";"earnings_impact_4yr",#N/A,FALSE,"Earnings Impact";"accr_dil_4yr",#N/A,FALSE,"accretion dilution";"prof_inc_stmt_4yr",#N/A,FALSE,"Pro Forma Income Statement";"contr_anal_4yr",#N/A,FALSE,"Contribution_Analysis";"bal_adj",#N/A,FALSE,"Pro Forma Balance Sheet";"Acquiror_4yr",#N/A,FALSE,"Acquirer";"Target_4yr",#N/A,FALSE,"Target";"HasGets-4yr",#N/A,FALSE,"Has-Gets"}</definedName>
    <definedName name="wrn.Quick_Merge_5yr." localSheetId="1" hidden="1">{"Cover",#N/A,FALSE,"Cover";"trans_sum_debt",#N/A,FALSE,"Transaction_Sum_debt_Stats";"earnings_impact_5yr",#N/A,FALSE,"Earnings Impact";"accr_dil_5yr",#N/A,FALSE,"accretion dilution";"prof_inc_stmt_5yr",#N/A,FALSE,"Pro Forma Income Statement";"contr_anal_5yr",#N/A,FALSE,"Contribution_Analysis";"bal_adj",#N/A,FALSE,"Pro Forma Balance Sheet";"Acquiror_5yr",#N/A,FALSE,"Acquirer";"Target_5yr",#N/A,FALSE,"Target";"HasGets-yr5",#N/A,FALSE,"Has-Gets"}</definedName>
    <definedName name="wrn.Quick_Merge_5yr." localSheetId="3" hidden="1">{"Cover",#N/A,FALSE,"Cover";"trans_sum_debt",#N/A,FALSE,"Transaction_Sum_debt_Stats";"earnings_impact_5yr",#N/A,FALSE,"Earnings Impact";"accr_dil_5yr",#N/A,FALSE,"accretion dilution";"prof_inc_stmt_5yr",#N/A,FALSE,"Pro Forma Income Statement";"contr_anal_5yr",#N/A,FALSE,"Contribution_Analysis";"bal_adj",#N/A,FALSE,"Pro Forma Balance Sheet";"Acquiror_5yr",#N/A,FALSE,"Acquirer";"Target_5yr",#N/A,FALSE,"Target";"HasGets-yr5",#N/A,FALSE,"Has-Gets"}</definedName>
    <definedName name="wrn.Quick_Merge_5yr." localSheetId="4" hidden="1">{"Cover",#N/A,FALSE,"Cover";"trans_sum_debt",#N/A,FALSE,"Transaction_Sum_debt_Stats";"earnings_impact_5yr",#N/A,FALSE,"Earnings Impact";"accr_dil_5yr",#N/A,FALSE,"accretion dilution";"prof_inc_stmt_5yr",#N/A,FALSE,"Pro Forma Income Statement";"contr_anal_5yr",#N/A,FALSE,"Contribution_Analysis";"bal_adj",#N/A,FALSE,"Pro Forma Balance Sheet";"Acquiror_5yr",#N/A,FALSE,"Acquirer";"Target_5yr",#N/A,FALSE,"Target";"HasGets-yr5",#N/A,FALSE,"Has-Gets"}</definedName>
    <definedName name="wrn.Quick_Merge_5yr." localSheetId="5" hidden="1">{"Cover",#N/A,FALSE,"Cover";"trans_sum_debt",#N/A,FALSE,"Transaction_Sum_debt_Stats";"earnings_impact_5yr",#N/A,FALSE,"Earnings Impact";"accr_dil_5yr",#N/A,FALSE,"accretion dilution";"prof_inc_stmt_5yr",#N/A,FALSE,"Pro Forma Income Statement";"contr_anal_5yr",#N/A,FALSE,"Contribution_Analysis";"bal_adj",#N/A,FALSE,"Pro Forma Balance Sheet";"Acquiror_5yr",#N/A,FALSE,"Acquirer";"Target_5yr",#N/A,FALSE,"Target";"HasGets-yr5",#N/A,FALSE,"Has-Gets"}</definedName>
    <definedName name="wrn.Quick_Merge_5yr." hidden="1">{"Cover",#N/A,FALSE,"Cover";"trans_sum_debt",#N/A,FALSE,"Transaction_Sum_debt_Stats";"earnings_impact_5yr",#N/A,FALSE,"Earnings Impact";"accr_dil_5yr",#N/A,FALSE,"accretion dilution";"prof_inc_stmt_5yr",#N/A,FALSE,"Pro Forma Income Statement";"contr_anal_5yr",#N/A,FALSE,"Contribution_Analysis";"bal_adj",#N/A,FALSE,"Pro Forma Balance Sheet";"Acquiror_5yr",#N/A,FALSE,"Acquirer";"Target_5yr",#N/A,FALSE,"Target";"HasGets-yr5",#N/A,FALSE,"Has-Gets"}</definedName>
    <definedName name="wrn.Quick_Merge_6yr." localSheetId="1" hidden="1">{"Cover",#N/A,FALSE,"Cover";"trans_sum_debt",#N/A,FALSE,"Transaction_Sum_debt_Stats";"earnings_impact_6yr",#N/A,FALSE,"Earnings Impact";"accr_dil_6yr",#N/A,FALSE,"accretion dilution";"prof_inc_stmt_6yr",#N/A,FALSE,"Pro Forma Income Statement";"contr_anal_6yr",#N/A,FALSE,"Contribution_Analysis";"bal_adj",#N/A,FALSE,"Pro Forma Balance Sheet";"Acquiror_6yr",#N/A,FALSE,"Acquirer";"Target_6yr",#N/A,FALSE,"Target";"HasGets-yr6",#N/A,FALSE,"Has-Gets"}</definedName>
    <definedName name="wrn.Quick_Merge_6yr." localSheetId="3" hidden="1">{"Cover",#N/A,FALSE,"Cover";"trans_sum_debt",#N/A,FALSE,"Transaction_Sum_debt_Stats";"earnings_impact_6yr",#N/A,FALSE,"Earnings Impact";"accr_dil_6yr",#N/A,FALSE,"accretion dilution";"prof_inc_stmt_6yr",#N/A,FALSE,"Pro Forma Income Statement";"contr_anal_6yr",#N/A,FALSE,"Contribution_Analysis";"bal_adj",#N/A,FALSE,"Pro Forma Balance Sheet";"Acquiror_6yr",#N/A,FALSE,"Acquirer";"Target_6yr",#N/A,FALSE,"Target";"HasGets-yr6",#N/A,FALSE,"Has-Gets"}</definedName>
    <definedName name="wrn.Quick_Merge_6yr." localSheetId="4" hidden="1">{"Cover",#N/A,FALSE,"Cover";"trans_sum_debt",#N/A,FALSE,"Transaction_Sum_debt_Stats";"earnings_impact_6yr",#N/A,FALSE,"Earnings Impact";"accr_dil_6yr",#N/A,FALSE,"accretion dilution";"prof_inc_stmt_6yr",#N/A,FALSE,"Pro Forma Income Statement";"contr_anal_6yr",#N/A,FALSE,"Contribution_Analysis";"bal_adj",#N/A,FALSE,"Pro Forma Balance Sheet";"Acquiror_6yr",#N/A,FALSE,"Acquirer";"Target_6yr",#N/A,FALSE,"Target";"HasGets-yr6",#N/A,FALSE,"Has-Gets"}</definedName>
    <definedName name="wrn.Quick_Merge_6yr." localSheetId="5" hidden="1">{"Cover",#N/A,FALSE,"Cover";"trans_sum_debt",#N/A,FALSE,"Transaction_Sum_debt_Stats";"earnings_impact_6yr",#N/A,FALSE,"Earnings Impact";"accr_dil_6yr",#N/A,FALSE,"accretion dilution";"prof_inc_stmt_6yr",#N/A,FALSE,"Pro Forma Income Statement";"contr_anal_6yr",#N/A,FALSE,"Contribution_Analysis";"bal_adj",#N/A,FALSE,"Pro Forma Balance Sheet";"Acquiror_6yr",#N/A,FALSE,"Acquirer";"Target_6yr",#N/A,FALSE,"Target";"HasGets-yr6",#N/A,FALSE,"Has-Gets"}</definedName>
    <definedName name="wrn.Quick_Merge_6yr." hidden="1">{"Cover",#N/A,FALSE,"Cover";"trans_sum_debt",#N/A,FALSE,"Transaction_Sum_debt_Stats";"earnings_impact_6yr",#N/A,FALSE,"Earnings Impact";"accr_dil_6yr",#N/A,FALSE,"accretion dilution";"prof_inc_stmt_6yr",#N/A,FALSE,"Pro Forma Income Statement";"contr_anal_6yr",#N/A,FALSE,"Contribution_Analysis";"bal_adj",#N/A,FALSE,"Pro Forma Balance Sheet";"Acquiror_6yr",#N/A,FALSE,"Acquirer";"Target_6yr",#N/A,FALSE,"Target";"HasGets-yr6",#N/A,FALSE,"Has-Gets"}</definedName>
    <definedName name="wrn.Report." localSheetId="1" hidden="1">{#N/A,#N/A,FALSE,"Summary";#N/A,#N/A,FALSE,"BS";#N/A,#N/A,FALSE,"IS";#N/A,#N/A,FALSE,"CF";#N/A,#N/A,FALSE,"DebtSchedule";#N/A,#N/A,FALSE,"Depreciation";#N/A,#N/A,FALSE,"Taxes";#N/A,#N/A,FALSE,"Assumptions";#N/A,#N/A,FALSE,"Covenants";#N/A,#N/A,FALSE,"Disc CF";#N/A,#N/A,FALSE,"Dividend Discount Model";#N/A,#N/A,FALSE,"PF EPS Impact";#N/A,#N/A,FALSE,"Input";#N/A,#N/A,FALSE,"Cost of Debt";#N/A,#N/A,FALSE,"WACC";#N/A,#N/A,FALSE,"DCF_Assum";#N/A,#N/A,FALSE,"DCF_Check"}</definedName>
    <definedName name="wrn.Report." localSheetId="3" hidden="1">{#N/A,#N/A,FALSE,"Summary";#N/A,#N/A,FALSE,"BS";#N/A,#N/A,FALSE,"IS";#N/A,#N/A,FALSE,"CF";#N/A,#N/A,FALSE,"DebtSchedule";#N/A,#N/A,FALSE,"Depreciation";#N/A,#N/A,FALSE,"Taxes";#N/A,#N/A,FALSE,"Assumptions";#N/A,#N/A,FALSE,"Covenants";#N/A,#N/A,FALSE,"Disc CF";#N/A,#N/A,FALSE,"Dividend Discount Model";#N/A,#N/A,FALSE,"PF EPS Impact";#N/A,#N/A,FALSE,"Input";#N/A,#N/A,FALSE,"Cost of Debt";#N/A,#N/A,FALSE,"WACC";#N/A,#N/A,FALSE,"DCF_Assum";#N/A,#N/A,FALSE,"DCF_Check"}</definedName>
    <definedName name="wrn.Report." localSheetId="4" hidden="1">{#N/A,#N/A,FALSE,"Summary";#N/A,#N/A,FALSE,"BS";#N/A,#N/A,FALSE,"IS";#N/A,#N/A,FALSE,"CF";#N/A,#N/A,FALSE,"DebtSchedule";#N/A,#N/A,FALSE,"Depreciation";#N/A,#N/A,FALSE,"Taxes";#N/A,#N/A,FALSE,"Assumptions";#N/A,#N/A,FALSE,"Covenants";#N/A,#N/A,FALSE,"Disc CF";#N/A,#N/A,FALSE,"Dividend Discount Model";#N/A,#N/A,FALSE,"PF EPS Impact";#N/A,#N/A,FALSE,"Input";#N/A,#N/A,FALSE,"Cost of Debt";#N/A,#N/A,FALSE,"WACC";#N/A,#N/A,FALSE,"DCF_Assum";#N/A,#N/A,FALSE,"DCF_Check"}</definedName>
    <definedName name="wrn.Report." localSheetId="5" hidden="1">{#N/A,#N/A,FALSE,"Summary";#N/A,#N/A,FALSE,"BS";#N/A,#N/A,FALSE,"IS";#N/A,#N/A,FALSE,"CF";#N/A,#N/A,FALSE,"DebtSchedule";#N/A,#N/A,FALSE,"Depreciation";#N/A,#N/A,FALSE,"Taxes";#N/A,#N/A,FALSE,"Assumptions";#N/A,#N/A,FALSE,"Covenants";#N/A,#N/A,FALSE,"Disc CF";#N/A,#N/A,FALSE,"Dividend Discount Model";#N/A,#N/A,FALSE,"PF EPS Impact";#N/A,#N/A,FALSE,"Input";#N/A,#N/A,FALSE,"Cost of Debt";#N/A,#N/A,FALSE,"WACC";#N/A,#N/A,FALSE,"DCF_Assum";#N/A,#N/A,FALSE,"DCF_Check"}</definedName>
    <definedName name="wrn.Report." hidden="1">{#N/A,#N/A,FALSE,"Summary";#N/A,#N/A,FALSE,"BS";#N/A,#N/A,FALSE,"IS";#N/A,#N/A,FALSE,"CF";#N/A,#N/A,FALSE,"DebtSchedule";#N/A,#N/A,FALSE,"Depreciation";#N/A,#N/A,FALSE,"Taxes";#N/A,#N/A,FALSE,"Assumptions";#N/A,#N/A,FALSE,"Covenants";#N/A,#N/A,FALSE,"Disc CF";#N/A,#N/A,FALSE,"Dividend Discount Model";#N/A,#N/A,FALSE,"PF EPS Impact";#N/A,#N/A,FALSE,"Input";#N/A,#N/A,FALSE,"Cost of Debt";#N/A,#N/A,FALSE,"WACC";#N/A,#N/A,FALSE,"DCF_Assum";#N/A,#N/A,FALSE,"DCF_Check"}</definedName>
    <definedName name="wrn.Riverwood_comp_model." localSheetId="1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iverwood_comp_model." localSheetId="3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iverwood_comp_model." localSheetId="4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iverwood_comp_model." localSheetId="5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SHORT." localSheetId="1" hidden="1">{"CREDIT STATISTICS",#N/A,FALSE,"STATS";"CF_AND_IS",#N/A,FALSE,"PLAN";"BALSHEET",#N/A,FALSE,"BALANCE SHEET"}</definedName>
    <definedName name="wrn.SHORT." localSheetId="3" hidden="1">{"CREDIT STATISTICS",#N/A,FALSE,"STATS";"CF_AND_IS",#N/A,FALSE,"PLAN";"BALSHEET",#N/A,FALSE,"BALANCE SHEET"}</definedName>
    <definedName name="wrn.SHORT." localSheetId="4" hidden="1">{"CREDIT STATISTICS",#N/A,FALSE,"STATS";"CF_AND_IS",#N/A,FALSE,"PLAN";"BALSHEET",#N/A,FALSE,"BALANCE SHEET"}</definedName>
    <definedName name="wrn.SHORT." localSheetId="5" hidden="1">{"CREDIT STATISTICS",#N/A,FALSE,"STATS";"CF_AND_IS",#N/A,FALSE,"PLAN";"BALSHEET",#N/A,FALSE,"BALANCE SHEET"}</definedName>
    <definedName name="wrn.SHORT." hidden="1">{"CREDIT STATISTICS",#N/A,FALSE,"STATS";"CF_AND_IS",#N/A,FALSE,"PLAN";"BALSHEET",#N/A,FALSE,"BALANCE SHEET"}</definedName>
    <definedName name="wrn.Sierra." localSheetId="1" hidden="1">{#N/A,#N/A,FALSE,"OXHP"}</definedName>
    <definedName name="wrn.Sierra." localSheetId="3" hidden="1">{#N/A,#N/A,FALSE,"OXHP"}</definedName>
    <definedName name="wrn.Sierra." localSheetId="4" hidden="1">{#N/A,#N/A,FALSE,"OXHP"}</definedName>
    <definedName name="wrn.Sierra." localSheetId="5" hidden="1">{#N/A,#N/A,FALSE,"OXHP"}</definedName>
    <definedName name="wrn.Sierra." hidden="1">{#N/A,#N/A,FALSE,"OXHP"}</definedName>
    <definedName name="wrn.slides." localSheetId="1" hidden="1">{"sum op",#N/A,FALSE,"Sum OP";"op hy",#N/A,FALSE,"Sum OP (HY)";"sum tp",#N/A,FALSE,"Sum TP"}</definedName>
    <definedName name="wrn.slides." localSheetId="3" hidden="1">{"sum op",#N/A,FALSE,"Sum OP";"op hy",#N/A,FALSE,"Sum OP (HY)";"sum tp",#N/A,FALSE,"Sum TP"}</definedName>
    <definedName name="wrn.slides." localSheetId="4" hidden="1">{"sum op",#N/A,FALSE,"Sum OP";"op hy",#N/A,FALSE,"Sum OP (HY)";"sum tp",#N/A,FALSE,"Sum TP"}</definedName>
    <definedName name="wrn.slides." localSheetId="5" hidden="1">{"sum op",#N/A,FALSE,"Sum OP";"op hy",#N/A,FALSE,"Sum OP (HY)";"sum tp",#N/A,FALSE,"Sum TP"}</definedName>
    <definedName name="wrn.slides." hidden="1">{"sum op",#N/A,FALSE,"Sum OP";"op hy",#N/A,FALSE,"Sum OP (HY)";"sum tp",#N/A,FALSE,"Sum TP"}</definedName>
    <definedName name="wrn.Three._.Months._.Cash._.Flow." localSheetId="1" hidden="1">{"Landscape Detail CF",#N/A,FALSE,"Cash Flow for the 3 m-e 8.31";"Portrait Detail CF",#N/A,FALSE,"Cash Flow for the 3 m-e 8.31"}</definedName>
    <definedName name="wrn.Three._.Months._.Cash._.Flow." localSheetId="3" hidden="1">{"Landscape Detail CF",#N/A,FALSE,"Cash Flow for the 3 m-e 8.31";"Portrait Detail CF",#N/A,FALSE,"Cash Flow for the 3 m-e 8.31"}</definedName>
    <definedName name="wrn.Three._.Months._.Cash._.Flow." localSheetId="4" hidden="1">{"Landscape Detail CF",#N/A,FALSE,"Cash Flow for the 3 m-e 8.31";"Portrait Detail CF",#N/A,FALSE,"Cash Flow for the 3 m-e 8.31"}</definedName>
    <definedName name="wrn.Three._.Months._.Cash._.Flow." localSheetId="5" hidden="1">{"Landscape Detail CF",#N/A,FALSE,"Cash Flow for the 3 m-e 8.31";"Portrait Detail CF",#N/A,FALSE,"Cash Flow for the 3 m-e 8.31"}</definedName>
    <definedName name="wrn.Three._.Months._.Cash._.Flow." hidden="1">{"Landscape Detail CF",#N/A,FALSE,"Cash Flow for the 3 m-e 8.31";"Portrait Detail CF",#N/A,FALSE,"Cash Flow for the 3 m-e 8.31"}</definedName>
    <definedName name="wrn.vd." localSheetId="1" hidden="1">{#N/A,#N/A,TRUE,"BT M200 da 10x20"}</definedName>
    <definedName name="wrn.vd." localSheetId="3" hidden="1">{#N/A,#N/A,TRUE,"BT M200 da 10x20"}</definedName>
    <definedName name="wrn.vd." localSheetId="4" hidden="1">{#N/A,#N/A,TRUE,"BT M200 da 10x20"}</definedName>
    <definedName name="wrn.vd." localSheetId="5" hidden="1">{#N/A,#N/A,TRUE,"BT M200 da 10x20"}</definedName>
    <definedName name="wrn.vd." hidden="1">{#N/A,#N/A,TRUE,"BT M200 da 10x20"}</definedName>
    <definedName name="wrn.Wacc." localSheetId="1" hidden="1">{"Area1",#N/A,FALSE,"OREWACC";"Area2",#N/A,FALSE,"OREWACC"}</definedName>
    <definedName name="wrn.Wacc." localSheetId="3" hidden="1">{"Area1",#N/A,FALSE,"OREWACC";"Area2",#N/A,FALSE,"OREWACC"}</definedName>
    <definedName name="wrn.Wacc." localSheetId="4" hidden="1">{"Area1",#N/A,FALSE,"OREWACC";"Area2",#N/A,FALSE,"OREWACC"}</definedName>
    <definedName name="wrn.Wacc." localSheetId="5" hidden="1">{"Area1",#N/A,FALSE,"OREWACC";"Area2",#N/A,FALSE,"OREWACC"}</definedName>
    <definedName name="wrn.Wacc." hidden="1">{"Area1",#N/A,FALSE,"OREWACC";"Area2",#N/A,FALSE,"OREWACC"}</definedName>
    <definedName name="wrn.전체인쇄." localSheetId="1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wrn.전체인쇄." localSheetId="3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wrn.전체인쇄." localSheetId="4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wrn.전체인쇄." localSheetId="5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wrn.전체인쇄.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www" localSheetId="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www" localSheetId="3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www" localSheetId="4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www" localSheetId="5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www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x" localSheetId="1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x" localSheetId="3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x" localSheetId="4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x" localSheetId="5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x" hidden="1">{"all",#N/A,FALSE,"Cover";"all",#N/A,FALSE,"Index";"all",#N/A,FALSE,"Group";"all",#N/A,FALSE,"CASHHEAD";"all",#N/A,FALSE,"CASH_BUS";"ALL",#N/A,FALSE,"UDV";"ALL",#N/A,FALSE,"UDV2";"ALL",#N/A,FALSE,"Pillsbury";"ALL",#N/A,FALSE,"Pillsbury vols";"ALL",#N/A,FALSE,"Guinness";"all",#N/A,FALSE,"Guinness vols";"all",#N/A,FALSE,"BK Comps";"all",#N/A,FALSE,"B_K";"all",#N/A,FALSE,"MH";"all",#N/A,FALSE,"Market";"all",#N/A,FALSE,"Appendix";"all",#N/A,FALSE,"UDV Appendix";"all",#N/A,FALSE,"Guinness Appendix"}</definedName>
    <definedName name="xpr" localSheetId="1" hidden="1">{"Area1",#N/A,FALSE,"OREWACC";"Area2",#N/A,FALSE,"OREWACC"}</definedName>
    <definedName name="xpr" localSheetId="3" hidden="1">{"Area1",#N/A,FALSE,"OREWACC";"Area2",#N/A,FALSE,"OREWACC"}</definedName>
    <definedName name="xpr" localSheetId="4" hidden="1">{"Area1",#N/A,FALSE,"OREWACC";"Area2",#N/A,FALSE,"OREWACC"}</definedName>
    <definedName name="xpr" localSheetId="5" hidden="1">{"Area1",#N/A,FALSE,"OREWACC";"Area2",#N/A,FALSE,"OREWACC"}</definedName>
    <definedName name="xpr" hidden="1">{"Area1",#N/A,FALSE,"OREWACC";"Area2",#N/A,FALSE,"OREWACC"}</definedName>
    <definedName name="xx" localSheetId="1" hidden="1">{"ALL",#N/A,FALSE,"Summary";"ALL",#N/A,FALSE,"Vs LE";"all",#N/A,FALSE,"Targets";"all",#N/A,FALSE,"FLASH";"print calc",#N/A,FALSE,"Calc";"all",#N/A,FALSE,"Corporate costs";"all",#N/A,FALSE,"Corporate costs (2)"}</definedName>
    <definedName name="xx" localSheetId="3" hidden="1">{"ALL",#N/A,FALSE,"Summary";"ALL",#N/A,FALSE,"Vs LE";"all",#N/A,FALSE,"Targets";"all",#N/A,FALSE,"FLASH";"print calc",#N/A,FALSE,"Calc";"all",#N/A,FALSE,"Corporate costs";"all",#N/A,FALSE,"Corporate costs (2)"}</definedName>
    <definedName name="xx" localSheetId="4" hidden="1">{"ALL",#N/A,FALSE,"Summary";"ALL",#N/A,FALSE,"Vs LE";"all",#N/A,FALSE,"Targets";"all",#N/A,FALSE,"FLASH";"print calc",#N/A,FALSE,"Calc";"all",#N/A,FALSE,"Corporate costs";"all",#N/A,FALSE,"Corporate costs (2)"}</definedName>
    <definedName name="xx" localSheetId="5" hidden="1">{"ALL",#N/A,FALSE,"Summary";"ALL",#N/A,FALSE,"Vs LE";"all",#N/A,FALSE,"Targets";"all",#N/A,FALSE,"FLASH";"print calc",#N/A,FALSE,"Calc";"all",#N/A,FALSE,"Corporate costs";"all",#N/A,FALSE,"Corporate costs (2)"}</definedName>
    <definedName name="xx" hidden="1">{"ALL",#N/A,FALSE,"Summary";"ALL",#N/A,FALSE,"Vs LE";"all",#N/A,FALSE,"Targets";"all",#N/A,FALSE,"FLASH";"print calc",#N/A,FALSE,"Calc";"all",#N/A,FALSE,"Corporate costs";"all",#N/A,FALSE,"Corporate costs (2)"}</definedName>
    <definedName name="xxx" localSheetId="1" hidden="1">{#N/A,#N/A,FALSE,"지침";#N/A,#N/A,FALSE,"환경분석";#N/A,#N/A,FALSE,"Sheet16"}</definedName>
    <definedName name="xxx" localSheetId="3" hidden="1">{#N/A,#N/A,FALSE,"지침";#N/A,#N/A,FALSE,"환경분석";#N/A,#N/A,FALSE,"Sheet16"}</definedName>
    <definedName name="xxx" localSheetId="4" hidden="1">{#N/A,#N/A,FALSE,"지침";#N/A,#N/A,FALSE,"환경분석";#N/A,#N/A,FALSE,"Sheet16"}</definedName>
    <definedName name="xxx" localSheetId="5" hidden="1">{#N/A,#N/A,FALSE,"지침";#N/A,#N/A,FALSE,"환경분석";#N/A,#N/A,FALSE,"Sheet16"}</definedName>
    <definedName name="xxx" hidden="1">{#N/A,#N/A,FALSE,"지침";#N/A,#N/A,FALSE,"환경분석";#N/A,#N/A,FALSE,"Sheet16"}</definedName>
    <definedName name="xxxx" localSheetId="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xxxx" localSheetId="3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xxxx" localSheetId="4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xxxx" localSheetId="5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xxxx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xyz" localSheetId="1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xyz" localSheetId="3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xyz" localSheetId="4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xyz" localSheetId="5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xyz" hidden="1">{"all",#N/A,FALSE,"Cover";"all",#N/A,FALSE,"Abb index";"all",#N/A,FALSE,"Group";"all",#N/A,FALSE,"CASHHEAD";"all",#N/A,FALSE,"UDV";"ALL",#N/A,FALSE,"Pillsbury";"ALL",#N/A,FALSE,"Pillsbury vols";"ALL",#N/A,FALSE,"Guinness";"all",#N/A,FALSE,"Guinness vols";"all",#N/A,FALSE,"B_K";"all",#N/A,FALSE,"BK Comps";"all",#N/A,FALSE,"MH";"all",#N/A,FALSE,"Market";"all",#N/A,FALSE,"Profman";"all",#N/A,FALSE,"Guinness Appendix"}</definedName>
    <definedName name="Y" localSheetId="1" hidden="1">{"all",#N/A,FALSE,"Vs LE";"ALL",#N/A,FALSE,"Summary"}</definedName>
    <definedName name="Y" localSheetId="3" hidden="1">{"all",#N/A,FALSE,"Vs LE";"ALL",#N/A,FALSE,"Summary"}</definedName>
    <definedName name="Y" localSheetId="4" hidden="1">{"all",#N/A,FALSE,"Vs LE";"ALL",#N/A,FALSE,"Summary"}</definedName>
    <definedName name="Y" localSheetId="5" hidden="1">{"all",#N/A,FALSE,"Vs LE";"ALL",#N/A,FALSE,"Summary"}</definedName>
    <definedName name="Y" hidden="1">{"all",#N/A,FALSE,"Vs LE";"ALL",#N/A,FALSE,"Summary"}</definedName>
    <definedName name="ygraph" hidden="1">#REF!</definedName>
    <definedName name="yyy" localSheetId="1" hidden="1">{#N/A,#N/A,FALSE,"지침";#N/A,#N/A,FALSE,"환경분석";#N/A,#N/A,FALSE,"Sheet16"}</definedName>
    <definedName name="yyy" localSheetId="3" hidden="1">{#N/A,#N/A,FALSE,"지침";#N/A,#N/A,FALSE,"환경분석";#N/A,#N/A,FALSE,"Sheet16"}</definedName>
    <definedName name="yyy" localSheetId="4" hidden="1">{#N/A,#N/A,FALSE,"지침";#N/A,#N/A,FALSE,"환경분석";#N/A,#N/A,FALSE,"Sheet16"}</definedName>
    <definedName name="yyy" localSheetId="5" hidden="1">{#N/A,#N/A,FALSE,"지침";#N/A,#N/A,FALSE,"환경분석";#N/A,#N/A,FALSE,"Sheet16"}</definedName>
    <definedName name="yyy" hidden="1">{#N/A,#N/A,FALSE,"지침";#N/A,#N/A,FALSE,"환경분석";#N/A,#N/A,FALSE,"Sheet16"}</definedName>
    <definedName name="YYYYYYY" localSheetId="1" hidden="1">{#N/A,#N/A,FALSE,"지침";#N/A,#N/A,FALSE,"환경분석";#N/A,#N/A,FALSE,"Sheet16"}</definedName>
    <definedName name="YYYYYYY" localSheetId="3" hidden="1">{#N/A,#N/A,FALSE,"지침";#N/A,#N/A,FALSE,"환경분석";#N/A,#N/A,FALSE,"Sheet16"}</definedName>
    <definedName name="YYYYYYY" localSheetId="4" hidden="1">{#N/A,#N/A,FALSE,"지침";#N/A,#N/A,FALSE,"환경분석";#N/A,#N/A,FALSE,"Sheet16"}</definedName>
    <definedName name="YYYYYYY" localSheetId="5" hidden="1">{#N/A,#N/A,FALSE,"지침";#N/A,#N/A,FALSE,"환경분석";#N/A,#N/A,FALSE,"Sheet16"}</definedName>
    <definedName name="YYYYYYY" hidden="1">{#N/A,#N/A,FALSE,"지침";#N/A,#N/A,FALSE,"환경분석";#N/A,#N/A,FALSE,"Sheet16"}</definedName>
    <definedName name="z" hidden="1">#REF!</definedName>
    <definedName name="Z_8D5EC42C_32ED_4580_A345_A9BD45F6DB52_.wvu.Cols" hidden="1">#REF!</definedName>
    <definedName name="Z_8D5EC42C_32ED_4580_A345_A9BD45F6DB52_.wvu.FilterData" hidden="1">#REF!</definedName>
    <definedName name="Z_8D5EC42C_32ED_4580_A345_A9BD45F6DB52_.wvu.PrintArea" hidden="1">#REF!</definedName>
    <definedName name="Z_8D5EC42C_32ED_4580_A345_A9BD45F6DB52_.wvu.Rows" hidden="1">#REF!</definedName>
    <definedName name="zzzz" localSheetId="1" hidden="1">{#N/A,#N/A,FALSE,"지침";#N/A,#N/A,FALSE,"환경분석";#N/A,#N/A,FALSE,"Sheet16"}</definedName>
    <definedName name="zzzz" localSheetId="3" hidden="1">{#N/A,#N/A,FALSE,"지침";#N/A,#N/A,FALSE,"환경분석";#N/A,#N/A,FALSE,"Sheet16"}</definedName>
    <definedName name="zzzz" localSheetId="4" hidden="1">{#N/A,#N/A,FALSE,"지침";#N/A,#N/A,FALSE,"환경분석";#N/A,#N/A,FALSE,"Sheet16"}</definedName>
    <definedName name="zzzz" localSheetId="5" hidden="1">{#N/A,#N/A,FALSE,"지침";#N/A,#N/A,FALSE,"환경분석";#N/A,#N/A,FALSE,"Sheet16"}</definedName>
    <definedName name="zzzz" hidden="1">{#N/A,#N/A,FALSE,"지침";#N/A,#N/A,FALSE,"환경분석";#N/A,#N/A,FALSE,"Sheet16"}</definedName>
    <definedName name="ZZZZZ" localSheetId="1" hidden="1">{#N/A,#N/A,FALSE,"지침";#N/A,#N/A,FALSE,"환경분석";#N/A,#N/A,FALSE,"Sheet16"}</definedName>
    <definedName name="ZZZZZ" localSheetId="3" hidden="1">{#N/A,#N/A,FALSE,"지침";#N/A,#N/A,FALSE,"환경분석";#N/A,#N/A,FALSE,"Sheet16"}</definedName>
    <definedName name="ZZZZZ" localSheetId="4" hidden="1">{#N/A,#N/A,FALSE,"지침";#N/A,#N/A,FALSE,"환경분석";#N/A,#N/A,FALSE,"Sheet16"}</definedName>
    <definedName name="ZZZZZ" localSheetId="5" hidden="1">{#N/A,#N/A,FALSE,"지침";#N/A,#N/A,FALSE,"환경분석";#N/A,#N/A,FALSE,"Sheet16"}</definedName>
    <definedName name="ZZZZZ" hidden="1">{#N/A,#N/A,FALSE,"지침";#N/A,#N/A,FALSE,"환경분석";#N/A,#N/A,FALSE,"Sheet16"}</definedName>
    <definedName name="ㄱㄱㄱ" localSheetId="1" hidden="1">{#N/A,#N/A,FALSE,"지침";#N/A,#N/A,FALSE,"환경분석";#N/A,#N/A,FALSE,"Sheet16"}</definedName>
    <definedName name="ㄱㄱㄱ" localSheetId="3" hidden="1">{#N/A,#N/A,FALSE,"지침";#N/A,#N/A,FALSE,"환경분석";#N/A,#N/A,FALSE,"Sheet16"}</definedName>
    <definedName name="ㄱㄱㄱ" localSheetId="4" hidden="1">{#N/A,#N/A,FALSE,"지침";#N/A,#N/A,FALSE,"환경분석";#N/A,#N/A,FALSE,"Sheet16"}</definedName>
    <definedName name="ㄱㄱㄱ" localSheetId="5" hidden="1">{#N/A,#N/A,FALSE,"지침";#N/A,#N/A,FALSE,"환경분석";#N/A,#N/A,FALSE,"Sheet16"}</definedName>
    <definedName name="ㄱㄱㄱ" hidden="1">{#N/A,#N/A,FALSE,"지침";#N/A,#N/A,FALSE,"환경분석";#N/A,#N/A,FALSE,"Sheet16"}</definedName>
    <definedName name="ㄱㄱㄱㄱ" localSheetId="1" hidden="1">{#N/A,#N/A,FALSE,"지침";#N/A,#N/A,FALSE,"환경분석";#N/A,#N/A,FALSE,"Sheet16"}</definedName>
    <definedName name="ㄱㄱㄱㄱ" localSheetId="3" hidden="1">{#N/A,#N/A,FALSE,"지침";#N/A,#N/A,FALSE,"환경분석";#N/A,#N/A,FALSE,"Sheet16"}</definedName>
    <definedName name="ㄱㄱㄱㄱ" localSheetId="4" hidden="1">{#N/A,#N/A,FALSE,"지침";#N/A,#N/A,FALSE,"환경분석";#N/A,#N/A,FALSE,"Sheet16"}</definedName>
    <definedName name="ㄱㄱㄱㄱ" localSheetId="5" hidden="1">{#N/A,#N/A,FALSE,"지침";#N/A,#N/A,FALSE,"환경분석";#N/A,#N/A,FALSE,"Sheet16"}</definedName>
    <definedName name="ㄱㄱㄱㄱ" hidden="1">{#N/A,#N/A,FALSE,"지침";#N/A,#N/A,FALSE,"환경분석";#N/A,#N/A,FALSE,"Sheet16"}</definedName>
    <definedName name="ㄱㄱㄱㄱㄱㄱㄱㄱ" localSheetId="1" hidden="1">{#N/A,#N/A,FALSE,"지침";#N/A,#N/A,FALSE,"환경분석";#N/A,#N/A,FALSE,"Sheet16"}</definedName>
    <definedName name="ㄱㄱㄱㄱㄱㄱㄱㄱ" localSheetId="3" hidden="1">{#N/A,#N/A,FALSE,"지침";#N/A,#N/A,FALSE,"환경분석";#N/A,#N/A,FALSE,"Sheet16"}</definedName>
    <definedName name="ㄱㄱㄱㄱㄱㄱㄱㄱ" localSheetId="4" hidden="1">{#N/A,#N/A,FALSE,"지침";#N/A,#N/A,FALSE,"환경분석";#N/A,#N/A,FALSE,"Sheet16"}</definedName>
    <definedName name="ㄱㄱㄱㄱㄱㄱㄱㄱ" localSheetId="5" hidden="1">{#N/A,#N/A,FALSE,"지침";#N/A,#N/A,FALSE,"환경분석";#N/A,#N/A,FALSE,"Sheet16"}</definedName>
    <definedName name="ㄱㄱㄱㄱㄱㄱㄱㄱ" hidden="1">{#N/A,#N/A,FALSE,"지침";#N/A,#N/A,FALSE,"환경분석";#N/A,#N/A,FALSE,"Sheet16"}</definedName>
    <definedName name="ㄱㅈㄷㄱㄷㅈㄱㅈㄷㄱㅈ" localSheetId="1" hidden="1">{#N/A,#N/A,FALSE,"지침";#N/A,#N/A,FALSE,"환경분석";#N/A,#N/A,FALSE,"Sheet16"}</definedName>
    <definedName name="ㄱㅈㄷㄱㄷㅈㄱㅈㄷㄱㅈ" localSheetId="3" hidden="1">{#N/A,#N/A,FALSE,"지침";#N/A,#N/A,FALSE,"환경분석";#N/A,#N/A,FALSE,"Sheet16"}</definedName>
    <definedName name="ㄱㅈㄷㄱㄷㅈㄱㅈㄷㄱㅈ" localSheetId="4" hidden="1">{#N/A,#N/A,FALSE,"지침";#N/A,#N/A,FALSE,"환경분석";#N/A,#N/A,FALSE,"Sheet16"}</definedName>
    <definedName name="ㄱㅈㄷㄱㄷㅈㄱㅈㄷㄱㅈ" localSheetId="5" hidden="1">{#N/A,#N/A,FALSE,"지침";#N/A,#N/A,FALSE,"환경분석";#N/A,#N/A,FALSE,"Sheet16"}</definedName>
    <definedName name="ㄱㅈㄷㄱㄷㅈㄱㅈㄷㄱㅈ" hidden="1">{#N/A,#N/A,FALSE,"지침";#N/A,#N/A,FALSE,"환경분석";#N/A,#N/A,FALSE,"Sheet16"}</definedName>
    <definedName name="가라" localSheetId="1" hidden="1">{#N/A,#N/A,FALSE,"1.CRITERIA";#N/A,#N/A,FALSE,"2.IS";#N/A,#N/A,FALSE,"3.BS";#N/A,#N/A,FALSE,"4.PER PL";#N/A,#N/A,FALSE,"5.INVESTMENT";#N/A,#N/A,FALSE,"6.공문";#N/A,#N/A,FALSE,"7.netinvest"}</definedName>
    <definedName name="가라" localSheetId="3" hidden="1">{#N/A,#N/A,FALSE,"1.CRITERIA";#N/A,#N/A,FALSE,"2.IS";#N/A,#N/A,FALSE,"3.BS";#N/A,#N/A,FALSE,"4.PER PL";#N/A,#N/A,FALSE,"5.INVESTMENT";#N/A,#N/A,FALSE,"6.공문";#N/A,#N/A,FALSE,"7.netinvest"}</definedName>
    <definedName name="가라" localSheetId="4" hidden="1">{#N/A,#N/A,FALSE,"1.CRITERIA";#N/A,#N/A,FALSE,"2.IS";#N/A,#N/A,FALSE,"3.BS";#N/A,#N/A,FALSE,"4.PER PL";#N/A,#N/A,FALSE,"5.INVESTMENT";#N/A,#N/A,FALSE,"6.공문";#N/A,#N/A,FALSE,"7.netinvest"}</definedName>
    <definedName name="가라" localSheetId="5" hidden="1">{#N/A,#N/A,FALSE,"1.CRITERIA";#N/A,#N/A,FALSE,"2.IS";#N/A,#N/A,FALSE,"3.BS";#N/A,#N/A,FALSE,"4.PER PL";#N/A,#N/A,FALSE,"5.INVESTMENT";#N/A,#N/A,FALSE,"6.공문";#N/A,#N/A,FALSE,"7.netinvest"}</definedName>
    <definedName name="가라" hidden="1">{#N/A,#N/A,FALSE,"1.CRITERIA";#N/A,#N/A,FALSE,"2.IS";#N/A,#N/A,FALSE,"3.BS";#N/A,#N/A,FALSE,"4.PER PL";#N/A,#N/A,FALSE,"5.INVESTMENT";#N/A,#N/A,FALSE,"6.공문";#N/A,#N/A,FALSE,"7.netinvest"}</definedName>
    <definedName name="가아차" localSheetId="1" hidden="1">{#N/A,#N/A,FALSE,"1.CRITERIA";#N/A,#N/A,FALSE,"2.IS";#N/A,#N/A,FALSE,"3.BS";#N/A,#N/A,FALSE,"4.PER PL";#N/A,#N/A,FALSE,"5.INVESTMENT";#N/A,#N/A,FALSE,"6.공문";#N/A,#N/A,FALSE,"7.netinvest"}</definedName>
    <definedName name="가아차" localSheetId="3" hidden="1">{#N/A,#N/A,FALSE,"1.CRITERIA";#N/A,#N/A,FALSE,"2.IS";#N/A,#N/A,FALSE,"3.BS";#N/A,#N/A,FALSE,"4.PER PL";#N/A,#N/A,FALSE,"5.INVESTMENT";#N/A,#N/A,FALSE,"6.공문";#N/A,#N/A,FALSE,"7.netinvest"}</definedName>
    <definedName name="가아차" localSheetId="4" hidden="1">{#N/A,#N/A,FALSE,"1.CRITERIA";#N/A,#N/A,FALSE,"2.IS";#N/A,#N/A,FALSE,"3.BS";#N/A,#N/A,FALSE,"4.PER PL";#N/A,#N/A,FALSE,"5.INVESTMENT";#N/A,#N/A,FALSE,"6.공문";#N/A,#N/A,FALSE,"7.netinvest"}</definedName>
    <definedName name="가아차" localSheetId="5" hidden="1">{#N/A,#N/A,FALSE,"1.CRITERIA";#N/A,#N/A,FALSE,"2.IS";#N/A,#N/A,FALSE,"3.BS";#N/A,#N/A,FALSE,"4.PER PL";#N/A,#N/A,FALSE,"5.INVESTMENT";#N/A,#N/A,FALSE,"6.공문";#N/A,#N/A,FALSE,"7.netinvest"}</definedName>
    <definedName name="가아차" hidden="1">{#N/A,#N/A,FALSE,"1.CRITERIA";#N/A,#N/A,FALSE,"2.IS";#N/A,#N/A,FALSE,"3.BS";#N/A,#N/A,FALSE,"4.PER PL";#N/A,#N/A,FALSE,"5.INVESTMENT";#N/A,#N/A,FALSE,"6.공문";#N/A,#N/A,FALSE,"7.netinvest"}</definedName>
    <definedName name="강" localSheetId="1" hidden="1">{#N/A,#N/A,FALSE,"1.CRITERIA";#N/A,#N/A,FALSE,"2.IS";#N/A,#N/A,FALSE,"3.BS";#N/A,#N/A,FALSE,"4.PER PL";#N/A,#N/A,FALSE,"5.INVESTMENT";#N/A,#N/A,FALSE,"6.공문";#N/A,#N/A,FALSE,"7.netinvest"}</definedName>
    <definedName name="강" localSheetId="3" hidden="1">{#N/A,#N/A,FALSE,"1.CRITERIA";#N/A,#N/A,FALSE,"2.IS";#N/A,#N/A,FALSE,"3.BS";#N/A,#N/A,FALSE,"4.PER PL";#N/A,#N/A,FALSE,"5.INVESTMENT";#N/A,#N/A,FALSE,"6.공문";#N/A,#N/A,FALSE,"7.netinvest"}</definedName>
    <definedName name="강" localSheetId="4" hidden="1">{#N/A,#N/A,FALSE,"1.CRITERIA";#N/A,#N/A,FALSE,"2.IS";#N/A,#N/A,FALSE,"3.BS";#N/A,#N/A,FALSE,"4.PER PL";#N/A,#N/A,FALSE,"5.INVESTMENT";#N/A,#N/A,FALSE,"6.공문";#N/A,#N/A,FALSE,"7.netinvest"}</definedName>
    <definedName name="강" localSheetId="5" hidden="1">{#N/A,#N/A,FALSE,"1.CRITERIA";#N/A,#N/A,FALSE,"2.IS";#N/A,#N/A,FALSE,"3.BS";#N/A,#N/A,FALSE,"4.PER PL";#N/A,#N/A,FALSE,"5.INVESTMENT";#N/A,#N/A,FALSE,"6.공문";#N/A,#N/A,FALSE,"7.netinvest"}</definedName>
    <definedName name="강" hidden="1">{#N/A,#N/A,FALSE,"1.CRITERIA";#N/A,#N/A,FALSE,"2.IS";#N/A,#N/A,FALSE,"3.BS";#N/A,#N/A,FALSE,"4.PER PL";#N/A,#N/A,FALSE,"5.INVESTMENT";#N/A,#N/A,FALSE,"6.공문";#N/A,#N/A,FALSE,"7.netinvest"}</definedName>
    <definedName name="거" localSheetId="1" hidden="1">{#N/A,#N/A,FALSE,"1.CRITERIA";#N/A,#N/A,FALSE,"2.IS";#N/A,#N/A,FALSE,"3.BS";#N/A,#N/A,FALSE,"4.PER PL";#N/A,#N/A,FALSE,"5.INVESTMENT";#N/A,#N/A,FALSE,"6.공문";#N/A,#N/A,FALSE,"7.netinvest"}</definedName>
    <definedName name="거" localSheetId="3" hidden="1">{#N/A,#N/A,FALSE,"1.CRITERIA";#N/A,#N/A,FALSE,"2.IS";#N/A,#N/A,FALSE,"3.BS";#N/A,#N/A,FALSE,"4.PER PL";#N/A,#N/A,FALSE,"5.INVESTMENT";#N/A,#N/A,FALSE,"6.공문";#N/A,#N/A,FALSE,"7.netinvest"}</definedName>
    <definedName name="거" localSheetId="4" hidden="1">{#N/A,#N/A,FALSE,"1.CRITERIA";#N/A,#N/A,FALSE,"2.IS";#N/A,#N/A,FALSE,"3.BS";#N/A,#N/A,FALSE,"4.PER PL";#N/A,#N/A,FALSE,"5.INVESTMENT";#N/A,#N/A,FALSE,"6.공문";#N/A,#N/A,FALSE,"7.netinvest"}</definedName>
    <definedName name="거" localSheetId="5" hidden="1">{#N/A,#N/A,FALSE,"1.CRITERIA";#N/A,#N/A,FALSE,"2.IS";#N/A,#N/A,FALSE,"3.BS";#N/A,#N/A,FALSE,"4.PER PL";#N/A,#N/A,FALSE,"5.INVESTMENT";#N/A,#N/A,FALSE,"6.공문";#N/A,#N/A,FALSE,"7.netinvest"}</definedName>
    <definedName name="거" hidden="1">{#N/A,#N/A,FALSE,"1.CRITERIA";#N/A,#N/A,FALSE,"2.IS";#N/A,#N/A,FALSE,"3.BS";#N/A,#N/A,FALSE,"4.PER PL";#N/A,#N/A,FALSE,"5.INVESTMENT";#N/A,#N/A,FALSE,"6.공문";#N/A,#N/A,FALSE,"7.netinvest"}</definedName>
    <definedName name="거이" localSheetId="1" hidden="1">{#N/A,#N/A,FALSE,"1.CRITERIA";#N/A,#N/A,FALSE,"2.IS";#N/A,#N/A,FALSE,"3.BS";#N/A,#N/A,FALSE,"4.PER PL";#N/A,#N/A,FALSE,"5.INVESTMENT";#N/A,#N/A,FALSE,"6.공문";#N/A,#N/A,FALSE,"7.netinvest"}</definedName>
    <definedName name="거이" localSheetId="3" hidden="1">{#N/A,#N/A,FALSE,"1.CRITERIA";#N/A,#N/A,FALSE,"2.IS";#N/A,#N/A,FALSE,"3.BS";#N/A,#N/A,FALSE,"4.PER PL";#N/A,#N/A,FALSE,"5.INVESTMENT";#N/A,#N/A,FALSE,"6.공문";#N/A,#N/A,FALSE,"7.netinvest"}</definedName>
    <definedName name="거이" localSheetId="4" hidden="1">{#N/A,#N/A,FALSE,"1.CRITERIA";#N/A,#N/A,FALSE,"2.IS";#N/A,#N/A,FALSE,"3.BS";#N/A,#N/A,FALSE,"4.PER PL";#N/A,#N/A,FALSE,"5.INVESTMENT";#N/A,#N/A,FALSE,"6.공문";#N/A,#N/A,FALSE,"7.netinvest"}</definedName>
    <definedName name="거이" localSheetId="5" hidden="1">{#N/A,#N/A,FALSE,"1.CRITERIA";#N/A,#N/A,FALSE,"2.IS";#N/A,#N/A,FALSE,"3.BS";#N/A,#N/A,FALSE,"4.PER PL";#N/A,#N/A,FALSE,"5.INVESTMENT";#N/A,#N/A,FALSE,"6.공문";#N/A,#N/A,FALSE,"7.netinvest"}</definedName>
    <definedName name="거이" hidden="1">{#N/A,#N/A,FALSE,"1.CRITERIA";#N/A,#N/A,FALSE,"2.IS";#N/A,#N/A,FALSE,"3.BS";#N/A,#N/A,FALSE,"4.PER PL";#N/A,#N/A,FALSE,"5.INVESTMENT";#N/A,#N/A,FALSE,"6.공문";#N/A,#N/A,FALSE,"7.netinvest"}</definedName>
    <definedName name="경기북부" localSheetId="1" hidden="1">{#N/A,#N/A,FALSE,"지침";#N/A,#N/A,FALSE,"환경분석";#N/A,#N/A,FALSE,"Sheet16"}</definedName>
    <definedName name="경기북부" localSheetId="3" hidden="1">{#N/A,#N/A,FALSE,"지침";#N/A,#N/A,FALSE,"환경분석";#N/A,#N/A,FALSE,"Sheet16"}</definedName>
    <definedName name="경기북부" localSheetId="4" hidden="1">{#N/A,#N/A,FALSE,"지침";#N/A,#N/A,FALSE,"환경분석";#N/A,#N/A,FALSE,"Sheet16"}</definedName>
    <definedName name="경기북부" localSheetId="5" hidden="1">{#N/A,#N/A,FALSE,"지침";#N/A,#N/A,FALSE,"환경분석";#N/A,#N/A,FALSE,"Sheet16"}</definedName>
    <definedName name="경기북부" hidden="1">{#N/A,#N/A,FALSE,"지침";#N/A,#N/A,FALSE,"환경분석";#N/A,#N/A,FALSE,"Sheet16"}</definedName>
    <definedName name="고" localSheetId="1" hidden="1">{#N/A,#N/A,FALSE,"지침";#N/A,#N/A,FALSE,"환경분석";#N/A,#N/A,FALSE,"Sheet16"}</definedName>
    <definedName name="고" localSheetId="3" hidden="1">{#N/A,#N/A,FALSE,"지침";#N/A,#N/A,FALSE,"환경분석";#N/A,#N/A,FALSE,"Sheet16"}</definedName>
    <definedName name="고" localSheetId="4" hidden="1">{#N/A,#N/A,FALSE,"지침";#N/A,#N/A,FALSE,"환경분석";#N/A,#N/A,FALSE,"Sheet16"}</definedName>
    <definedName name="고" localSheetId="5" hidden="1">{#N/A,#N/A,FALSE,"지침";#N/A,#N/A,FALSE,"환경분석";#N/A,#N/A,FALSE,"Sheet16"}</definedName>
    <definedName name="고" hidden="1">{#N/A,#N/A,FALSE,"지침";#N/A,#N/A,FALSE,"환경분석";#N/A,#N/A,FALSE,"Sheet16"}</definedName>
    <definedName name="기아" localSheetId="1" hidden="1">{#N/A,#N/A,FALSE,"1.CRITERIA";#N/A,#N/A,FALSE,"2.IS";#N/A,#N/A,FALSE,"3.BS";#N/A,#N/A,FALSE,"4.PER PL";#N/A,#N/A,FALSE,"5.INVESTMENT";#N/A,#N/A,FALSE,"6.공문";#N/A,#N/A,FALSE,"7.netinvest"}</definedName>
    <definedName name="기아" localSheetId="3" hidden="1">{#N/A,#N/A,FALSE,"1.CRITERIA";#N/A,#N/A,FALSE,"2.IS";#N/A,#N/A,FALSE,"3.BS";#N/A,#N/A,FALSE,"4.PER PL";#N/A,#N/A,FALSE,"5.INVESTMENT";#N/A,#N/A,FALSE,"6.공문";#N/A,#N/A,FALSE,"7.netinvest"}</definedName>
    <definedName name="기아" localSheetId="4" hidden="1">{#N/A,#N/A,FALSE,"1.CRITERIA";#N/A,#N/A,FALSE,"2.IS";#N/A,#N/A,FALSE,"3.BS";#N/A,#N/A,FALSE,"4.PER PL";#N/A,#N/A,FALSE,"5.INVESTMENT";#N/A,#N/A,FALSE,"6.공문";#N/A,#N/A,FALSE,"7.netinvest"}</definedName>
    <definedName name="기아" localSheetId="5" hidden="1">{#N/A,#N/A,FALSE,"1.CRITERIA";#N/A,#N/A,FALSE,"2.IS";#N/A,#N/A,FALSE,"3.BS";#N/A,#N/A,FALSE,"4.PER PL";#N/A,#N/A,FALSE,"5.INVESTMENT";#N/A,#N/A,FALSE,"6.공문";#N/A,#N/A,FALSE,"7.netinvest"}</definedName>
    <definedName name="기아" hidden="1">{#N/A,#N/A,FALSE,"1.CRITERIA";#N/A,#N/A,FALSE,"2.IS";#N/A,#N/A,FALSE,"3.BS";#N/A,#N/A,FALSE,"4.PER PL";#N/A,#N/A,FALSE,"5.INVESTMENT";#N/A,#N/A,FALSE,"6.공문";#N/A,#N/A,FALSE,"7.netinvest"}</definedName>
    <definedName name="기아차" localSheetId="1" hidden="1">{#N/A,#N/A,FALSE,"1.CRITERIA";#N/A,#N/A,FALSE,"2.IS";#N/A,#N/A,FALSE,"3.BS";#N/A,#N/A,FALSE,"4.PER PL";#N/A,#N/A,FALSE,"5.INVESTMENT";#N/A,#N/A,FALSE,"6.공문";#N/A,#N/A,FALSE,"7.netinvest"}</definedName>
    <definedName name="기아차" localSheetId="3" hidden="1">{#N/A,#N/A,FALSE,"1.CRITERIA";#N/A,#N/A,FALSE,"2.IS";#N/A,#N/A,FALSE,"3.BS";#N/A,#N/A,FALSE,"4.PER PL";#N/A,#N/A,FALSE,"5.INVESTMENT";#N/A,#N/A,FALSE,"6.공문";#N/A,#N/A,FALSE,"7.netinvest"}</definedName>
    <definedName name="기아차" localSheetId="4" hidden="1">{#N/A,#N/A,FALSE,"1.CRITERIA";#N/A,#N/A,FALSE,"2.IS";#N/A,#N/A,FALSE,"3.BS";#N/A,#N/A,FALSE,"4.PER PL";#N/A,#N/A,FALSE,"5.INVESTMENT";#N/A,#N/A,FALSE,"6.공문";#N/A,#N/A,FALSE,"7.netinvest"}</definedName>
    <definedName name="기아차" localSheetId="5" hidden="1">{#N/A,#N/A,FALSE,"1.CRITERIA";#N/A,#N/A,FALSE,"2.IS";#N/A,#N/A,FALSE,"3.BS";#N/A,#N/A,FALSE,"4.PER PL";#N/A,#N/A,FALSE,"5.INVESTMENT";#N/A,#N/A,FALSE,"6.공문";#N/A,#N/A,FALSE,"7.netinvest"}</definedName>
    <definedName name="기아차" hidden="1">{#N/A,#N/A,FALSE,"1.CRITERIA";#N/A,#N/A,FALSE,"2.IS";#N/A,#N/A,FALSE,"3.BS";#N/A,#N/A,FALSE,"4.PER PL";#N/A,#N/A,FALSE,"5.INVESTMENT";#N/A,#N/A,FALSE,"6.공문";#N/A,#N/A,FALSE,"7.netinvest"}</definedName>
    <definedName name="기전1" hidden="1">#REF!</definedName>
    <definedName name="ㄴㄴㄴㄴ" localSheetId="1" hidden="1">{#N/A,#N/A,FALSE,"지침";#N/A,#N/A,FALSE,"환경분석";#N/A,#N/A,FALSE,"Sheet16"}</definedName>
    <definedName name="ㄴㄴㄴㄴ" localSheetId="3" hidden="1">{#N/A,#N/A,FALSE,"지침";#N/A,#N/A,FALSE,"환경분석";#N/A,#N/A,FALSE,"Sheet16"}</definedName>
    <definedName name="ㄴㄴㄴㄴ" localSheetId="4" hidden="1">{#N/A,#N/A,FALSE,"지침";#N/A,#N/A,FALSE,"환경분석";#N/A,#N/A,FALSE,"Sheet16"}</definedName>
    <definedName name="ㄴㄴㄴㄴ" localSheetId="5" hidden="1">{#N/A,#N/A,FALSE,"지침";#N/A,#N/A,FALSE,"환경분석";#N/A,#N/A,FALSE,"Sheet16"}</definedName>
    <definedName name="ㄴㄴㄴㄴ" hidden="1">{#N/A,#N/A,FALSE,"지침";#N/A,#N/A,FALSE,"환경분석";#N/A,#N/A,FALSE,"Sheet16"}</definedName>
    <definedName name="나" localSheetId="1" hidden="1">{#N/A,#N/A,FALSE,"1.CRITERIA";#N/A,#N/A,FALSE,"2.IS";#N/A,#N/A,FALSE,"3.BS";#N/A,#N/A,FALSE,"4.PER PL";#N/A,#N/A,FALSE,"5.INVESTMENT";#N/A,#N/A,FALSE,"6.공문";#N/A,#N/A,FALSE,"7.netinvest"}</definedName>
    <definedName name="나" localSheetId="3" hidden="1">{#N/A,#N/A,FALSE,"1.CRITERIA";#N/A,#N/A,FALSE,"2.IS";#N/A,#N/A,FALSE,"3.BS";#N/A,#N/A,FALSE,"4.PER PL";#N/A,#N/A,FALSE,"5.INVESTMENT";#N/A,#N/A,FALSE,"6.공문";#N/A,#N/A,FALSE,"7.netinvest"}</definedName>
    <definedName name="나" localSheetId="4" hidden="1">{#N/A,#N/A,FALSE,"1.CRITERIA";#N/A,#N/A,FALSE,"2.IS";#N/A,#N/A,FALSE,"3.BS";#N/A,#N/A,FALSE,"4.PER PL";#N/A,#N/A,FALSE,"5.INVESTMENT";#N/A,#N/A,FALSE,"6.공문";#N/A,#N/A,FALSE,"7.netinvest"}</definedName>
    <definedName name="나" localSheetId="5" hidden="1">{#N/A,#N/A,FALSE,"1.CRITERIA";#N/A,#N/A,FALSE,"2.IS";#N/A,#N/A,FALSE,"3.BS";#N/A,#N/A,FALSE,"4.PER PL";#N/A,#N/A,FALSE,"5.INVESTMENT";#N/A,#N/A,FALSE,"6.공문";#N/A,#N/A,FALSE,"7.netinvest"}</definedName>
    <definedName name="나" hidden="1">{#N/A,#N/A,FALSE,"1.CRITERIA";#N/A,#N/A,FALSE,"2.IS";#N/A,#N/A,FALSE,"3.BS";#N/A,#N/A,FALSE,"4.PER PL";#N/A,#N/A,FALSE,"5.INVESTMENT";#N/A,#N/A,FALSE,"6.공문";#N/A,#N/A,FALSE,"7.netinvest"}</definedName>
    <definedName name="나라" localSheetId="1" hidden="1">{#N/A,#N/A,FALSE,"1.CRITERIA";#N/A,#N/A,FALSE,"2.IS";#N/A,#N/A,FALSE,"3.BS";#N/A,#N/A,FALSE,"4.PER PL";#N/A,#N/A,FALSE,"5.INVESTMENT";#N/A,#N/A,FALSE,"6.공문";#N/A,#N/A,FALSE,"7.netinvest"}</definedName>
    <definedName name="나라" localSheetId="3" hidden="1">{#N/A,#N/A,FALSE,"1.CRITERIA";#N/A,#N/A,FALSE,"2.IS";#N/A,#N/A,FALSE,"3.BS";#N/A,#N/A,FALSE,"4.PER PL";#N/A,#N/A,FALSE,"5.INVESTMENT";#N/A,#N/A,FALSE,"6.공문";#N/A,#N/A,FALSE,"7.netinvest"}</definedName>
    <definedName name="나라" localSheetId="4" hidden="1">{#N/A,#N/A,FALSE,"1.CRITERIA";#N/A,#N/A,FALSE,"2.IS";#N/A,#N/A,FALSE,"3.BS";#N/A,#N/A,FALSE,"4.PER PL";#N/A,#N/A,FALSE,"5.INVESTMENT";#N/A,#N/A,FALSE,"6.공문";#N/A,#N/A,FALSE,"7.netinvest"}</definedName>
    <definedName name="나라" localSheetId="5" hidden="1">{#N/A,#N/A,FALSE,"1.CRITERIA";#N/A,#N/A,FALSE,"2.IS";#N/A,#N/A,FALSE,"3.BS";#N/A,#N/A,FALSE,"4.PER PL";#N/A,#N/A,FALSE,"5.INVESTMENT";#N/A,#N/A,FALSE,"6.공문";#N/A,#N/A,FALSE,"7.netinvest"}</definedName>
    <definedName name="나라" hidden="1">{#N/A,#N/A,FALSE,"1.CRITERIA";#N/A,#N/A,FALSE,"2.IS";#N/A,#N/A,FALSE,"3.BS";#N/A,#N/A,FALSE,"4.PER PL";#N/A,#N/A,FALSE,"5.INVESTMENT";#N/A,#N/A,FALSE,"6.공문";#N/A,#N/A,FALSE,"7.netinvest"}</definedName>
    <definedName name="너" localSheetId="1" hidden="1">{#N/A,#N/A,FALSE,"1.CRITERIA";#N/A,#N/A,FALSE,"2.IS";#N/A,#N/A,FALSE,"3.BS";#N/A,#N/A,FALSE,"4.PER PL";#N/A,#N/A,FALSE,"5.INVESTMENT";#N/A,#N/A,FALSE,"6.공문";#N/A,#N/A,FALSE,"7.netinvest"}</definedName>
    <definedName name="너" localSheetId="3" hidden="1">{#N/A,#N/A,FALSE,"1.CRITERIA";#N/A,#N/A,FALSE,"2.IS";#N/A,#N/A,FALSE,"3.BS";#N/A,#N/A,FALSE,"4.PER PL";#N/A,#N/A,FALSE,"5.INVESTMENT";#N/A,#N/A,FALSE,"6.공문";#N/A,#N/A,FALSE,"7.netinvest"}</definedName>
    <definedName name="너" localSheetId="4" hidden="1">{#N/A,#N/A,FALSE,"1.CRITERIA";#N/A,#N/A,FALSE,"2.IS";#N/A,#N/A,FALSE,"3.BS";#N/A,#N/A,FALSE,"4.PER PL";#N/A,#N/A,FALSE,"5.INVESTMENT";#N/A,#N/A,FALSE,"6.공문";#N/A,#N/A,FALSE,"7.netinvest"}</definedName>
    <definedName name="너" localSheetId="5" hidden="1">{#N/A,#N/A,FALSE,"1.CRITERIA";#N/A,#N/A,FALSE,"2.IS";#N/A,#N/A,FALSE,"3.BS";#N/A,#N/A,FALSE,"4.PER PL";#N/A,#N/A,FALSE,"5.INVESTMENT";#N/A,#N/A,FALSE,"6.공문";#N/A,#N/A,FALSE,"7.netinvest"}</definedName>
    <definedName name="너" hidden="1">{#N/A,#N/A,FALSE,"1.CRITERIA";#N/A,#N/A,FALSE,"2.IS";#N/A,#N/A,FALSE,"3.BS";#N/A,#N/A,FALSE,"4.PER PL";#N/A,#N/A,FALSE,"5.INVESTMENT";#N/A,#N/A,FALSE,"6.공문";#N/A,#N/A,FALSE,"7.netinvest"}</definedName>
    <definedName name="ㄷㄱ쇼ㅛㅕㅓ" localSheetId="1" hidden="1">{#N/A,#N/A,FALSE,"지침";#N/A,#N/A,FALSE,"환경분석";#N/A,#N/A,FALSE,"Sheet16"}</definedName>
    <definedName name="ㄷㄱ쇼ㅛㅕㅓ" localSheetId="3" hidden="1">{#N/A,#N/A,FALSE,"지침";#N/A,#N/A,FALSE,"환경분석";#N/A,#N/A,FALSE,"Sheet16"}</definedName>
    <definedName name="ㄷㄱ쇼ㅛㅕㅓ" localSheetId="4" hidden="1">{#N/A,#N/A,FALSE,"지침";#N/A,#N/A,FALSE,"환경분석";#N/A,#N/A,FALSE,"Sheet16"}</definedName>
    <definedName name="ㄷㄱ쇼ㅛㅕㅓ" localSheetId="5" hidden="1">{#N/A,#N/A,FALSE,"지침";#N/A,#N/A,FALSE,"환경분석";#N/A,#N/A,FALSE,"Sheet16"}</definedName>
    <definedName name="ㄷㄱ쇼ㅛㅕㅓ" hidden="1">{#N/A,#N/A,FALSE,"지침";#N/A,#N/A,FALSE,"환경분석";#N/A,#N/A,FALSE,"Sheet16"}</definedName>
    <definedName name="ㄷㄱㅈㄷㄱㅈㄷㄱㅈㄷㄱㅈ" localSheetId="1" hidden="1">{#N/A,#N/A,FALSE,"지침";#N/A,#N/A,FALSE,"환경분석";#N/A,#N/A,FALSE,"Sheet16"}</definedName>
    <definedName name="ㄷㄱㅈㄷㄱㅈㄷㄱㅈㄷㄱㅈ" localSheetId="3" hidden="1">{#N/A,#N/A,FALSE,"지침";#N/A,#N/A,FALSE,"환경분석";#N/A,#N/A,FALSE,"Sheet16"}</definedName>
    <definedName name="ㄷㄱㅈㄷㄱㅈㄷㄱㅈㄷㄱㅈ" localSheetId="4" hidden="1">{#N/A,#N/A,FALSE,"지침";#N/A,#N/A,FALSE,"환경분석";#N/A,#N/A,FALSE,"Sheet16"}</definedName>
    <definedName name="ㄷㄱㅈㄷㄱㅈㄷㄱㅈㄷㄱㅈ" localSheetId="5" hidden="1">{#N/A,#N/A,FALSE,"지침";#N/A,#N/A,FALSE,"환경분석";#N/A,#N/A,FALSE,"Sheet16"}</definedName>
    <definedName name="ㄷㄱㅈㄷㄱㅈㄷㄱㅈㄷㄱㅈ" hidden="1">{#N/A,#N/A,FALSE,"지침";#N/A,#N/A,FALSE,"환경분석";#N/A,#N/A,FALSE,"Sheet16"}</definedName>
    <definedName name="ㄷㅇㅇㅇ" localSheetId="1" hidden="1">{#N/A,#N/A,FALSE,"지침";#N/A,#N/A,FALSE,"환경분석";#N/A,#N/A,FALSE,"Sheet16"}</definedName>
    <definedName name="ㄷㅇㅇㅇ" localSheetId="3" hidden="1">{#N/A,#N/A,FALSE,"지침";#N/A,#N/A,FALSE,"환경분석";#N/A,#N/A,FALSE,"Sheet16"}</definedName>
    <definedName name="ㄷㅇㅇㅇ" localSheetId="4" hidden="1">{#N/A,#N/A,FALSE,"지침";#N/A,#N/A,FALSE,"환경분석";#N/A,#N/A,FALSE,"Sheet16"}</definedName>
    <definedName name="ㄷㅇㅇㅇ" localSheetId="5" hidden="1">{#N/A,#N/A,FALSE,"지침";#N/A,#N/A,FALSE,"환경분석";#N/A,#N/A,FALSE,"Sheet16"}</definedName>
    <definedName name="ㄷㅇㅇㅇ" hidden="1">{#N/A,#N/A,FALSE,"지침";#N/A,#N/A,FALSE,"환경분석";#N/A,#N/A,FALSE,"Sheet16"}</definedName>
    <definedName name="다" localSheetId="1" hidden="1">{#N/A,#N/A,FALSE,"1.CRITERIA";#N/A,#N/A,FALSE,"2.IS";#N/A,#N/A,FALSE,"3.BS";#N/A,#N/A,FALSE,"4.PER PL";#N/A,#N/A,FALSE,"5.INVESTMENT";#N/A,#N/A,FALSE,"6.공문";#N/A,#N/A,FALSE,"7.netinvest"}</definedName>
    <definedName name="다" localSheetId="3" hidden="1">{#N/A,#N/A,FALSE,"1.CRITERIA";#N/A,#N/A,FALSE,"2.IS";#N/A,#N/A,FALSE,"3.BS";#N/A,#N/A,FALSE,"4.PER PL";#N/A,#N/A,FALSE,"5.INVESTMENT";#N/A,#N/A,FALSE,"6.공문";#N/A,#N/A,FALSE,"7.netinvest"}</definedName>
    <definedName name="다" localSheetId="4" hidden="1">{#N/A,#N/A,FALSE,"1.CRITERIA";#N/A,#N/A,FALSE,"2.IS";#N/A,#N/A,FALSE,"3.BS";#N/A,#N/A,FALSE,"4.PER PL";#N/A,#N/A,FALSE,"5.INVESTMENT";#N/A,#N/A,FALSE,"6.공문";#N/A,#N/A,FALSE,"7.netinvest"}</definedName>
    <definedName name="다" localSheetId="5" hidden="1">{#N/A,#N/A,FALSE,"1.CRITERIA";#N/A,#N/A,FALSE,"2.IS";#N/A,#N/A,FALSE,"3.BS";#N/A,#N/A,FALSE,"4.PER PL";#N/A,#N/A,FALSE,"5.INVESTMENT";#N/A,#N/A,FALSE,"6.공문";#N/A,#N/A,FALSE,"7.netinvest"}</definedName>
    <definedName name="다" hidden="1">{#N/A,#N/A,FALSE,"1.CRITERIA";#N/A,#N/A,FALSE,"2.IS";#N/A,#N/A,FALSE,"3.BS";#N/A,#N/A,FALSE,"4.PER PL";#N/A,#N/A,FALSE,"5.INVESTMENT";#N/A,#N/A,FALSE,"6.공문";#N/A,#N/A,FALSE,"7.netinvest"}</definedName>
    <definedName name="ㄹ" localSheetId="1" hidden="1">{#N/A,#N/A,FALSE,"지침";#N/A,#N/A,FALSE,"환경분석";#N/A,#N/A,FALSE,"Sheet16"}</definedName>
    <definedName name="ㄹ" localSheetId="3" hidden="1">{#N/A,#N/A,FALSE,"지침";#N/A,#N/A,FALSE,"환경분석";#N/A,#N/A,FALSE,"Sheet16"}</definedName>
    <definedName name="ㄹ" localSheetId="4" hidden="1">{#N/A,#N/A,FALSE,"지침";#N/A,#N/A,FALSE,"환경분석";#N/A,#N/A,FALSE,"Sheet16"}</definedName>
    <definedName name="ㄹ" localSheetId="5" hidden="1">{#N/A,#N/A,FALSE,"지침";#N/A,#N/A,FALSE,"환경분석";#N/A,#N/A,FALSE,"Sheet16"}</definedName>
    <definedName name="ㄹ" hidden="1">{#N/A,#N/A,FALSE,"지침";#N/A,#N/A,FALSE,"환경분석";#N/A,#N/A,FALSE,"Sheet16"}</definedName>
    <definedName name="ㄹㄹㄹㄹㄹ" localSheetId="1" hidden="1">{#N/A,#N/A,FALSE,"지침";#N/A,#N/A,FALSE,"환경분석";#N/A,#N/A,FALSE,"Sheet16"}</definedName>
    <definedName name="ㄹㄹㄹㄹㄹ" localSheetId="3" hidden="1">{#N/A,#N/A,FALSE,"지침";#N/A,#N/A,FALSE,"환경분석";#N/A,#N/A,FALSE,"Sheet16"}</definedName>
    <definedName name="ㄹㄹㄹㄹㄹ" localSheetId="4" hidden="1">{#N/A,#N/A,FALSE,"지침";#N/A,#N/A,FALSE,"환경분석";#N/A,#N/A,FALSE,"Sheet16"}</definedName>
    <definedName name="ㄹㄹㄹㄹㄹ" localSheetId="5" hidden="1">{#N/A,#N/A,FALSE,"지침";#N/A,#N/A,FALSE,"환경분석";#N/A,#N/A,FALSE,"Sheet16"}</definedName>
    <definedName name="ㄹㄹㄹㄹㄹ" hidden="1">{#N/A,#N/A,FALSE,"지침";#N/A,#N/A,FALSE,"환경분석";#N/A,#N/A,FALSE,"Sheet16"}</definedName>
    <definedName name="ㄹㄹㄹㄹㄹㄽㅅ" localSheetId="1" hidden="1">{#N/A,#N/A,FALSE,"지침";#N/A,#N/A,FALSE,"환경분석";#N/A,#N/A,FALSE,"Sheet16"}</definedName>
    <definedName name="ㄹㄹㄹㄹㄹㄽㅅ" localSheetId="3" hidden="1">{#N/A,#N/A,FALSE,"지침";#N/A,#N/A,FALSE,"환경분석";#N/A,#N/A,FALSE,"Sheet16"}</definedName>
    <definedName name="ㄹㄹㄹㄹㄹㄽㅅ" localSheetId="4" hidden="1">{#N/A,#N/A,FALSE,"지침";#N/A,#N/A,FALSE,"환경분석";#N/A,#N/A,FALSE,"Sheet16"}</definedName>
    <definedName name="ㄹㄹㄹㄹㄹㄽㅅ" localSheetId="5" hidden="1">{#N/A,#N/A,FALSE,"지침";#N/A,#N/A,FALSE,"환경분석";#N/A,#N/A,FALSE,"Sheet16"}</definedName>
    <definedName name="ㄹㄹㄹㄹㄹㄽㅅ" hidden="1">{#N/A,#N/A,FALSE,"지침";#N/A,#N/A,FALSE,"환경분석";#N/A,#N/A,FALSE,"Sheet16"}</definedName>
    <definedName name="ㄹㄹㅇㅁㅁㅂ" localSheetId="1" hidden="1">{#N/A,#N/A,FALSE,"지침";#N/A,#N/A,FALSE,"환경분석";#N/A,#N/A,FALSE,"Sheet16"}</definedName>
    <definedName name="ㄹㄹㅇㅁㅁㅂ" localSheetId="3" hidden="1">{#N/A,#N/A,FALSE,"지침";#N/A,#N/A,FALSE,"환경분석";#N/A,#N/A,FALSE,"Sheet16"}</definedName>
    <definedName name="ㄹㄹㅇㅁㅁㅂ" localSheetId="4" hidden="1">{#N/A,#N/A,FALSE,"지침";#N/A,#N/A,FALSE,"환경분석";#N/A,#N/A,FALSE,"Sheet16"}</definedName>
    <definedName name="ㄹㄹㅇㅁㅁㅂ" localSheetId="5" hidden="1">{#N/A,#N/A,FALSE,"지침";#N/A,#N/A,FALSE,"환경분석";#N/A,#N/A,FALSE,"Sheet16"}</definedName>
    <definedName name="ㄹㄹㅇㅁㅁㅂ" hidden="1">{#N/A,#N/A,FALSE,"지침";#N/A,#N/A,FALSE,"환경분석";#N/A,#N/A,FALSE,"Sheet16"}</definedName>
    <definedName name="ㄹㄺㄱㄱㄱㄱ" localSheetId="1" hidden="1">{#N/A,#N/A,FALSE,"지침";#N/A,#N/A,FALSE,"환경분석";#N/A,#N/A,FALSE,"Sheet16"}</definedName>
    <definedName name="ㄹㄺㄱㄱㄱㄱ" localSheetId="3" hidden="1">{#N/A,#N/A,FALSE,"지침";#N/A,#N/A,FALSE,"환경분석";#N/A,#N/A,FALSE,"Sheet16"}</definedName>
    <definedName name="ㄹㄺㄱㄱㄱㄱ" localSheetId="4" hidden="1">{#N/A,#N/A,FALSE,"지침";#N/A,#N/A,FALSE,"환경분석";#N/A,#N/A,FALSE,"Sheet16"}</definedName>
    <definedName name="ㄹㄺㄱㄱㄱㄱ" localSheetId="5" hidden="1">{#N/A,#N/A,FALSE,"지침";#N/A,#N/A,FALSE,"환경분석";#N/A,#N/A,FALSE,"Sheet16"}</definedName>
    <definedName name="ㄹㄺㄱㄱㄱㄱ" hidden="1">{#N/A,#N/A,FALSE,"지침";#N/A,#N/A,FALSE,"환경분석";#N/A,#N/A,FALSE,"Sheet16"}</definedName>
    <definedName name="ㄹㅇㄴㅁㅇ" localSheetId="1" hidden="1">{#N/A,#N/A,FALSE,"지침";#N/A,#N/A,FALSE,"환경분석";#N/A,#N/A,FALSE,"Sheet16"}</definedName>
    <definedName name="ㄹㅇㄴㅁㅇ" localSheetId="3" hidden="1">{#N/A,#N/A,FALSE,"지침";#N/A,#N/A,FALSE,"환경분석";#N/A,#N/A,FALSE,"Sheet16"}</definedName>
    <definedName name="ㄹㅇㄴㅁㅇ" localSheetId="4" hidden="1">{#N/A,#N/A,FALSE,"지침";#N/A,#N/A,FALSE,"환경분석";#N/A,#N/A,FALSE,"Sheet16"}</definedName>
    <definedName name="ㄹㅇㄴㅁㅇ" localSheetId="5" hidden="1">{#N/A,#N/A,FALSE,"지침";#N/A,#N/A,FALSE,"환경분석";#N/A,#N/A,FALSE,"Sheet16"}</definedName>
    <definedName name="ㄹㅇㄴㅁㅇ" hidden="1">{#N/A,#N/A,FALSE,"지침";#N/A,#N/A,FALSE,"환경분석";#N/A,#N/A,FALSE,"Sheet16"}</definedName>
    <definedName name="ㄹㅇ니ㅏㅓ" localSheetId="1" hidden="1">{#N/A,#N/A,FALSE,"지침";#N/A,#N/A,FALSE,"환경분석";#N/A,#N/A,FALSE,"Sheet16"}</definedName>
    <definedName name="ㄹㅇ니ㅏㅓ" localSheetId="3" hidden="1">{#N/A,#N/A,FALSE,"지침";#N/A,#N/A,FALSE,"환경분석";#N/A,#N/A,FALSE,"Sheet16"}</definedName>
    <definedName name="ㄹㅇ니ㅏㅓ" localSheetId="4" hidden="1">{#N/A,#N/A,FALSE,"지침";#N/A,#N/A,FALSE,"환경분석";#N/A,#N/A,FALSE,"Sheet16"}</definedName>
    <definedName name="ㄹㅇ니ㅏㅓ" localSheetId="5" hidden="1">{#N/A,#N/A,FALSE,"지침";#N/A,#N/A,FALSE,"환경분석";#N/A,#N/A,FALSE,"Sheet16"}</definedName>
    <definedName name="ㄹㅇ니ㅏㅓ" hidden="1">{#N/A,#N/A,FALSE,"지침";#N/A,#N/A,FALSE,"환경분석";#N/A,#N/A,FALSE,"Sheet16"}</definedName>
    <definedName name="ㄹㅈㄷㄱㄷㅈㅅㄷㄳㄱㄷㅅㄷㄳ" localSheetId="1" hidden="1">{#N/A,#N/A,FALSE,"지침";#N/A,#N/A,FALSE,"환경분석";#N/A,#N/A,FALSE,"Sheet16"}</definedName>
    <definedName name="ㄹㅈㄷㄱㄷㅈㅅㄷㄳㄱㄷㅅㄷㄳ" localSheetId="3" hidden="1">{#N/A,#N/A,FALSE,"지침";#N/A,#N/A,FALSE,"환경분석";#N/A,#N/A,FALSE,"Sheet16"}</definedName>
    <definedName name="ㄹㅈㄷㄱㄷㅈㅅㄷㄳㄱㄷㅅㄷㄳ" localSheetId="4" hidden="1">{#N/A,#N/A,FALSE,"지침";#N/A,#N/A,FALSE,"환경분석";#N/A,#N/A,FALSE,"Sheet16"}</definedName>
    <definedName name="ㄹㅈㄷㄱㄷㅈㅅㄷㄳㄱㄷㅅㄷㄳ" localSheetId="5" hidden="1">{#N/A,#N/A,FALSE,"지침";#N/A,#N/A,FALSE,"환경분석";#N/A,#N/A,FALSE,"Sheet16"}</definedName>
    <definedName name="ㄹㅈㄷㄱㄷㅈㅅㄷㄳㄱㄷㅅㄷㄳ" hidden="1">{#N/A,#N/A,FALSE,"지침";#N/A,#N/A,FALSE,"환경분석";#N/A,#N/A,FALSE,"Sheet16"}</definedName>
    <definedName name="ㄹㅈㄷㄱㅈㄷㄱㅈㄷㄱㅈㄷㄱ" localSheetId="1" hidden="1">{#N/A,#N/A,FALSE,"지침";#N/A,#N/A,FALSE,"환경분석";#N/A,#N/A,FALSE,"Sheet16"}</definedName>
    <definedName name="ㄹㅈㄷㄱㅈㄷㄱㅈㄷㄱㅈㄷㄱ" localSheetId="3" hidden="1">{#N/A,#N/A,FALSE,"지침";#N/A,#N/A,FALSE,"환경분석";#N/A,#N/A,FALSE,"Sheet16"}</definedName>
    <definedName name="ㄹㅈㄷㄱㅈㄷㄱㅈㄷㄱㅈㄷㄱ" localSheetId="4" hidden="1">{#N/A,#N/A,FALSE,"지침";#N/A,#N/A,FALSE,"환경분석";#N/A,#N/A,FALSE,"Sheet16"}</definedName>
    <definedName name="ㄹㅈㄷㄱㅈㄷㄱㅈㄷㄱㅈㄷㄱ" localSheetId="5" hidden="1">{#N/A,#N/A,FALSE,"지침";#N/A,#N/A,FALSE,"환경분석";#N/A,#N/A,FALSE,"Sheet16"}</definedName>
    <definedName name="ㄹㅈㄷㄱㅈㄷㄱㅈㄷㄱㅈㄷㄱ" hidden="1">{#N/A,#N/A,FALSE,"지침";#N/A,#N/A,FALSE,"환경분석";#N/A,#N/A,FALSE,"Sheet16"}</definedName>
    <definedName name="라" localSheetId="1" hidden="1">{#N/A,#N/A,FALSE,"1.CRITERIA";#N/A,#N/A,FALSE,"2.IS";#N/A,#N/A,FALSE,"3.BS";#N/A,#N/A,FALSE,"4.PER PL";#N/A,#N/A,FALSE,"5.INVESTMENT";#N/A,#N/A,FALSE,"6.공문";#N/A,#N/A,FALSE,"7.netinvest"}</definedName>
    <definedName name="라" localSheetId="3" hidden="1">{#N/A,#N/A,FALSE,"1.CRITERIA";#N/A,#N/A,FALSE,"2.IS";#N/A,#N/A,FALSE,"3.BS";#N/A,#N/A,FALSE,"4.PER PL";#N/A,#N/A,FALSE,"5.INVESTMENT";#N/A,#N/A,FALSE,"6.공문";#N/A,#N/A,FALSE,"7.netinvest"}</definedName>
    <definedName name="라" localSheetId="4" hidden="1">{#N/A,#N/A,FALSE,"1.CRITERIA";#N/A,#N/A,FALSE,"2.IS";#N/A,#N/A,FALSE,"3.BS";#N/A,#N/A,FALSE,"4.PER PL";#N/A,#N/A,FALSE,"5.INVESTMENT";#N/A,#N/A,FALSE,"6.공문";#N/A,#N/A,FALSE,"7.netinvest"}</definedName>
    <definedName name="라" localSheetId="5" hidden="1">{#N/A,#N/A,FALSE,"1.CRITERIA";#N/A,#N/A,FALSE,"2.IS";#N/A,#N/A,FALSE,"3.BS";#N/A,#N/A,FALSE,"4.PER PL";#N/A,#N/A,FALSE,"5.INVESTMENT";#N/A,#N/A,FALSE,"6.공문";#N/A,#N/A,FALSE,"7.netinvest"}</definedName>
    <definedName name="라" hidden="1">{#N/A,#N/A,FALSE,"1.CRITERIA";#N/A,#N/A,FALSE,"2.IS";#N/A,#N/A,FALSE,"3.BS";#N/A,#N/A,FALSE,"4.PER PL";#N/A,#N/A,FALSE,"5.INVESTMENT";#N/A,#N/A,FALSE,"6.공문";#N/A,#N/A,FALSE,"7.netinvest"}</definedName>
    <definedName name="ㅁㅁㅁ" localSheetId="1" hidden="1">{#N/A,#N/A,FALSE,"지침";#N/A,#N/A,FALSE,"환경분석";#N/A,#N/A,FALSE,"Sheet16"}</definedName>
    <definedName name="ㅁㅁㅁ" localSheetId="3" hidden="1">{#N/A,#N/A,FALSE,"지침";#N/A,#N/A,FALSE,"환경분석";#N/A,#N/A,FALSE,"Sheet16"}</definedName>
    <definedName name="ㅁㅁㅁ" localSheetId="4" hidden="1">{#N/A,#N/A,FALSE,"지침";#N/A,#N/A,FALSE,"환경분석";#N/A,#N/A,FALSE,"Sheet16"}</definedName>
    <definedName name="ㅁㅁㅁ" localSheetId="5" hidden="1">{#N/A,#N/A,FALSE,"지침";#N/A,#N/A,FALSE,"환경분석";#N/A,#N/A,FALSE,"Sheet16"}</definedName>
    <definedName name="ㅁㅁㅁ" hidden="1">{#N/A,#N/A,FALSE,"지침";#N/A,#N/A,FALSE,"환경분석";#N/A,#N/A,FALSE,"Sheet16"}</definedName>
    <definedName name="마마" localSheetId="1" hidden="1">{#N/A,#N/A,FALSE,"1.CRITERIA";#N/A,#N/A,FALSE,"2.IS";#N/A,#N/A,FALSE,"3.BS";#N/A,#N/A,FALSE,"4.PER PL";#N/A,#N/A,FALSE,"5.INVESTMENT";#N/A,#N/A,FALSE,"6.공문";#N/A,#N/A,FALSE,"7.netinvest"}</definedName>
    <definedName name="마마" localSheetId="3" hidden="1">{#N/A,#N/A,FALSE,"1.CRITERIA";#N/A,#N/A,FALSE,"2.IS";#N/A,#N/A,FALSE,"3.BS";#N/A,#N/A,FALSE,"4.PER PL";#N/A,#N/A,FALSE,"5.INVESTMENT";#N/A,#N/A,FALSE,"6.공문";#N/A,#N/A,FALSE,"7.netinvest"}</definedName>
    <definedName name="마마" localSheetId="4" hidden="1">{#N/A,#N/A,FALSE,"1.CRITERIA";#N/A,#N/A,FALSE,"2.IS";#N/A,#N/A,FALSE,"3.BS";#N/A,#N/A,FALSE,"4.PER PL";#N/A,#N/A,FALSE,"5.INVESTMENT";#N/A,#N/A,FALSE,"6.공문";#N/A,#N/A,FALSE,"7.netinvest"}</definedName>
    <definedName name="마마" localSheetId="5" hidden="1">{#N/A,#N/A,FALSE,"1.CRITERIA";#N/A,#N/A,FALSE,"2.IS";#N/A,#N/A,FALSE,"3.BS";#N/A,#N/A,FALSE,"4.PER PL";#N/A,#N/A,FALSE,"5.INVESTMENT";#N/A,#N/A,FALSE,"6.공문";#N/A,#N/A,FALSE,"7.netinvest"}</definedName>
    <definedName name="마마" hidden="1">{#N/A,#N/A,FALSE,"1.CRITERIA";#N/A,#N/A,FALSE,"2.IS";#N/A,#N/A,FALSE,"3.BS";#N/A,#N/A,FALSE,"4.PER PL";#N/A,#N/A,FALSE,"5.INVESTMENT";#N/A,#N/A,FALSE,"6.공문";#N/A,#N/A,FALSE,"7.netinvest"}</definedName>
    <definedName name="마마오" localSheetId="1" hidden="1">{#N/A,#N/A,FALSE,"1.CRITERIA";#N/A,#N/A,FALSE,"2.IS";#N/A,#N/A,FALSE,"3.BS";#N/A,#N/A,FALSE,"4.PER PL";#N/A,#N/A,FALSE,"5.INVESTMENT";#N/A,#N/A,FALSE,"6.공문";#N/A,#N/A,FALSE,"7.netinvest"}</definedName>
    <definedName name="마마오" localSheetId="3" hidden="1">{#N/A,#N/A,FALSE,"1.CRITERIA";#N/A,#N/A,FALSE,"2.IS";#N/A,#N/A,FALSE,"3.BS";#N/A,#N/A,FALSE,"4.PER PL";#N/A,#N/A,FALSE,"5.INVESTMENT";#N/A,#N/A,FALSE,"6.공문";#N/A,#N/A,FALSE,"7.netinvest"}</definedName>
    <definedName name="마마오" localSheetId="4" hidden="1">{#N/A,#N/A,FALSE,"1.CRITERIA";#N/A,#N/A,FALSE,"2.IS";#N/A,#N/A,FALSE,"3.BS";#N/A,#N/A,FALSE,"4.PER PL";#N/A,#N/A,FALSE,"5.INVESTMENT";#N/A,#N/A,FALSE,"6.공문";#N/A,#N/A,FALSE,"7.netinvest"}</definedName>
    <definedName name="마마오" localSheetId="5" hidden="1">{#N/A,#N/A,FALSE,"1.CRITERIA";#N/A,#N/A,FALSE,"2.IS";#N/A,#N/A,FALSE,"3.BS";#N/A,#N/A,FALSE,"4.PER PL";#N/A,#N/A,FALSE,"5.INVESTMENT";#N/A,#N/A,FALSE,"6.공문";#N/A,#N/A,FALSE,"7.netinvest"}</definedName>
    <definedName name="마마오" hidden="1">{#N/A,#N/A,FALSE,"1.CRITERIA";#N/A,#N/A,FALSE,"2.IS";#N/A,#N/A,FALSE,"3.BS";#N/A,#N/A,FALSE,"4.PER PL";#N/A,#N/A,FALSE,"5.INVESTMENT";#N/A,#N/A,FALSE,"6.공문";#N/A,#N/A,FALSE,"7.netinvest"}</definedName>
    <definedName name="마마이" localSheetId="1" hidden="1">{#N/A,#N/A,FALSE,"1.CRITERIA";#N/A,#N/A,FALSE,"2.IS";#N/A,#N/A,FALSE,"3.BS";#N/A,#N/A,FALSE,"4.PER PL";#N/A,#N/A,FALSE,"5.INVESTMENT";#N/A,#N/A,FALSE,"6.공문";#N/A,#N/A,FALSE,"7.netinvest"}</definedName>
    <definedName name="마마이" localSheetId="3" hidden="1">{#N/A,#N/A,FALSE,"1.CRITERIA";#N/A,#N/A,FALSE,"2.IS";#N/A,#N/A,FALSE,"3.BS";#N/A,#N/A,FALSE,"4.PER PL";#N/A,#N/A,FALSE,"5.INVESTMENT";#N/A,#N/A,FALSE,"6.공문";#N/A,#N/A,FALSE,"7.netinvest"}</definedName>
    <definedName name="마마이" localSheetId="4" hidden="1">{#N/A,#N/A,FALSE,"1.CRITERIA";#N/A,#N/A,FALSE,"2.IS";#N/A,#N/A,FALSE,"3.BS";#N/A,#N/A,FALSE,"4.PER PL";#N/A,#N/A,FALSE,"5.INVESTMENT";#N/A,#N/A,FALSE,"6.공문";#N/A,#N/A,FALSE,"7.netinvest"}</definedName>
    <definedName name="마마이" localSheetId="5" hidden="1">{#N/A,#N/A,FALSE,"1.CRITERIA";#N/A,#N/A,FALSE,"2.IS";#N/A,#N/A,FALSE,"3.BS";#N/A,#N/A,FALSE,"4.PER PL";#N/A,#N/A,FALSE,"5.INVESTMENT";#N/A,#N/A,FALSE,"6.공문";#N/A,#N/A,FALSE,"7.netinvest"}</definedName>
    <definedName name="마마이" hidden="1">{#N/A,#N/A,FALSE,"1.CRITERIA";#N/A,#N/A,FALSE,"2.IS";#N/A,#N/A,FALSE,"3.BS";#N/A,#N/A,FALSE,"4.PER PL";#N/A,#N/A,FALSE,"5.INVESTMENT";#N/A,#N/A,FALSE,"6.공문";#N/A,#N/A,FALSE,"7.netinvest"}</definedName>
    <definedName name="마아" localSheetId="1" hidden="1">{#N/A,#N/A,FALSE,"1.CRITERIA";#N/A,#N/A,FALSE,"2.IS";#N/A,#N/A,FALSE,"3.BS";#N/A,#N/A,FALSE,"4.PER PL";#N/A,#N/A,FALSE,"5.INVESTMENT";#N/A,#N/A,FALSE,"6.공문";#N/A,#N/A,FALSE,"7.netinvest"}</definedName>
    <definedName name="마아" localSheetId="3" hidden="1">{#N/A,#N/A,FALSE,"1.CRITERIA";#N/A,#N/A,FALSE,"2.IS";#N/A,#N/A,FALSE,"3.BS";#N/A,#N/A,FALSE,"4.PER PL";#N/A,#N/A,FALSE,"5.INVESTMENT";#N/A,#N/A,FALSE,"6.공문";#N/A,#N/A,FALSE,"7.netinvest"}</definedName>
    <definedName name="마아" localSheetId="4" hidden="1">{#N/A,#N/A,FALSE,"1.CRITERIA";#N/A,#N/A,FALSE,"2.IS";#N/A,#N/A,FALSE,"3.BS";#N/A,#N/A,FALSE,"4.PER PL";#N/A,#N/A,FALSE,"5.INVESTMENT";#N/A,#N/A,FALSE,"6.공문";#N/A,#N/A,FALSE,"7.netinvest"}</definedName>
    <definedName name="마아" localSheetId="5" hidden="1">{#N/A,#N/A,FALSE,"1.CRITERIA";#N/A,#N/A,FALSE,"2.IS";#N/A,#N/A,FALSE,"3.BS";#N/A,#N/A,FALSE,"4.PER PL";#N/A,#N/A,FALSE,"5.INVESTMENT";#N/A,#N/A,FALSE,"6.공문";#N/A,#N/A,FALSE,"7.netinvest"}</definedName>
    <definedName name="마아" hidden="1">{#N/A,#N/A,FALSE,"1.CRITERIA";#N/A,#N/A,FALSE,"2.IS";#N/A,#N/A,FALSE,"3.BS";#N/A,#N/A,FALSE,"4.PER PL";#N/A,#N/A,FALSE,"5.INVESTMENT";#N/A,#N/A,FALSE,"6.공문";#N/A,#N/A,FALSE,"7.netinvest"}</definedName>
    <definedName name="매축액2" localSheetId="1" hidden="1">{#N/A,#N/A,FALSE,"1.CRITERIA";#N/A,#N/A,FALSE,"2.IS";#N/A,#N/A,FALSE,"3.BS";#N/A,#N/A,FALSE,"4.PER PL";#N/A,#N/A,FALSE,"5.INVESTMENT";#N/A,#N/A,FALSE,"6.공문";#N/A,#N/A,FALSE,"7.netinvest"}</definedName>
    <definedName name="매축액2" localSheetId="3" hidden="1">{#N/A,#N/A,FALSE,"1.CRITERIA";#N/A,#N/A,FALSE,"2.IS";#N/A,#N/A,FALSE,"3.BS";#N/A,#N/A,FALSE,"4.PER PL";#N/A,#N/A,FALSE,"5.INVESTMENT";#N/A,#N/A,FALSE,"6.공문";#N/A,#N/A,FALSE,"7.netinvest"}</definedName>
    <definedName name="매축액2" localSheetId="4" hidden="1">{#N/A,#N/A,FALSE,"1.CRITERIA";#N/A,#N/A,FALSE,"2.IS";#N/A,#N/A,FALSE,"3.BS";#N/A,#N/A,FALSE,"4.PER PL";#N/A,#N/A,FALSE,"5.INVESTMENT";#N/A,#N/A,FALSE,"6.공문";#N/A,#N/A,FALSE,"7.netinvest"}</definedName>
    <definedName name="매축액2" localSheetId="5" hidden="1">{#N/A,#N/A,FALSE,"1.CRITERIA";#N/A,#N/A,FALSE,"2.IS";#N/A,#N/A,FALSE,"3.BS";#N/A,#N/A,FALSE,"4.PER PL";#N/A,#N/A,FALSE,"5.INVESTMENT";#N/A,#N/A,FALSE,"6.공문";#N/A,#N/A,FALSE,"7.netinvest"}</definedName>
    <definedName name="매축액2" hidden="1">{#N/A,#N/A,FALSE,"1.CRITERIA";#N/A,#N/A,FALSE,"2.IS";#N/A,#N/A,FALSE,"3.BS";#N/A,#N/A,FALSE,"4.PER PL";#N/A,#N/A,FALSE,"5.INVESTMENT";#N/A,#N/A,FALSE,"6.공문";#N/A,#N/A,FALSE,"7.netinvest"}</definedName>
    <definedName name="매출액2" localSheetId="1" hidden="1">{#N/A,#N/A,FALSE,"1.CRITERIA";#N/A,#N/A,FALSE,"2.IS";#N/A,#N/A,FALSE,"3.BS";#N/A,#N/A,FALSE,"4.PER PL";#N/A,#N/A,FALSE,"5.INVESTMENT";#N/A,#N/A,FALSE,"6.공문";#N/A,#N/A,FALSE,"7.netinvest"}</definedName>
    <definedName name="매출액2" localSheetId="3" hidden="1">{#N/A,#N/A,FALSE,"1.CRITERIA";#N/A,#N/A,FALSE,"2.IS";#N/A,#N/A,FALSE,"3.BS";#N/A,#N/A,FALSE,"4.PER PL";#N/A,#N/A,FALSE,"5.INVESTMENT";#N/A,#N/A,FALSE,"6.공문";#N/A,#N/A,FALSE,"7.netinvest"}</definedName>
    <definedName name="매출액2" localSheetId="4" hidden="1">{#N/A,#N/A,FALSE,"1.CRITERIA";#N/A,#N/A,FALSE,"2.IS";#N/A,#N/A,FALSE,"3.BS";#N/A,#N/A,FALSE,"4.PER PL";#N/A,#N/A,FALSE,"5.INVESTMENT";#N/A,#N/A,FALSE,"6.공문";#N/A,#N/A,FALSE,"7.netinvest"}</definedName>
    <definedName name="매출액2" localSheetId="5" hidden="1">{#N/A,#N/A,FALSE,"1.CRITERIA";#N/A,#N/A,FALSE,"2.IS";#N/A,#N/A,FALSE,"3.BS";#N/A,#N/A,FALSE,"4.PER PL";#N/A,#N/A,FALSE,"5.INVESTMENT";#N/A,#N/A,FALSE,"6.공문";#N/A,#N/A,FALSE,"7.netinvest"}</definedName>
    <definedName name="매출액2" hidden="1">{#N/A,#N/A,FALSE,"1.CRITERIA";#N/A,#N/A,FALSE,"2.IS";#N/A,#N/A,FALSE,"3.BS";#N/A,#N/A,FALSE,"4.PER PL";#N/A,#N/A,FALSE,"5.INVESTMENT";#N/A,#N/A,FALSE,"6.공문";#N/A,#N/A,FALSE,"7.netinvest"}</definedName>
    <definedName name="머머" localSheetId="1" hidden="1">{#N/A,#N/A,FALSE,"1.CRITERIA";#N/A,#N/A,FALSE,"2.IS";#N/A,#N/A,FALSE,"3.BS";#N/A,#N/A,FALSE,"4.PER PL";#N/A,#N/A,FALSE,"5.INVESTMENT";#N/A,#N/A,FALSE,"6.공문";#N/A,#N/A,FALSE,"7.netinvest"}</definedName>
    <definedName name="머머" localSheetId="3" hidden="1">{#N/A,#N/A,FALSE,"1.CRITERIA";#N/A,#N/A,FALSE,"2.IS";#N/A,#N/A,FALSE,"3.BS";#N/A,#N/A,FALSE,"4.PER PL";#N/A,#N/A,FALSE,"5.INVESTMENT";#N/A,#N/A,FALSE,"6.공문";#N/A,#N/A,FALSE,"7.netinvest"}</definedName>
    <definedName name="머머" localSheetId="4" hidden="1">{#N/A,#N/A,FALSE,"1.CRITERIA";#N/A,#N/A,FALSE,"2.IS";#N/A,#N/A,FALSE,"3.BS";#N/A,#N/A,FALSE,"4.PER PL";#N/A,#N/A,FALSE,"5.INVESTMENT";#N/A,#N/A,FALSE,"6.공문";#N/A,#N/A,FALSE,"7.netinvest"}</definedName>
    <definedName name="머머" localSheetId="5" hidden="1">{#N/A,#N/A,FALSE,"1.CRITERIA";#N/A,#N/A,FALSE,"2.IS";#N/A,#N/A,FALSE,"3.BS";#N/A,#N/A,FALSE,"4.PER PL";#N/A,#N/A,FALSE,"5.INVESTMENT";#N/A,#N/A,FALSE,"6.공문";#N/A,#N/A,FALSE,"7.netinvest"}</definedName>
    <definedName name="머머" hidden="1">{#N/A,#N/A,FALSE,"1.CRITERIA";#N/A,#N/A,FALSE,"2.IS";#N/A,#N/A,FALSE,"3.BS";#N/A,#N/A,FALSE,"4.PER PL";#N/A,#N/A,FALSE,"5.INVESTMENT";#N/A,#N/A,FALSE,"6.공문";#N/A,#N/A,FALSE,"7.netinvest"}</definedName>
    <definedName name="며며" localSheetId="1" hidden="1">{#N/A,#N/A,FALSE,"1.CRITERIA";#N/A,#N/A,FALSE,"2.IS";#N/A,#N/A,FALSE,"3.BS";#N/A,#N/A,FALSE,"4.PER PL";#N/A,#N/A,FALSE,"5.INVESTMENT";#N/A,#N/A,FALSE,"6.공문";#N/A,#N/A,FALSE,"7.netinvest"}</definedName>
    <definedName name="며며" localSheetId="3" hidden="1">{#N/A,#N/A,FALSE,"1.CRITERIA";#N/A,#N/A,FALSE,"2.IS";#N/A,#N/A,FALSE,"3.BS";#N/A,#N/A,FALSE,"4.PER PL";#N/A,#N/A,FALSE,"5.INVESTMENT";#N/A,#N/A,FALSE,"6.공문";#N/A,#N/A,FALSE,"7.netinvest"}</definedName>
    <definedName name="며며" localSheetId="4" hidden="1">{#N/A,#N/A,FALSE,"1.CRITERIA";#N/A,#N/A,FALSE,"2.IS";#N/A,#N/A,FALSE,"3.BS";#N/A,#N/A,FALSE,"4.PER PL";#N/A,#N/A,FALSE,"5.INVESTMENT";#N/A,#N/A,FALSE,"6.공문";#N/A,#N/A,FALSE,"7.netinvest"}</definedName>
    <definedName name="며며" localSheetId="5" hidden="1">{#N/A,#N/A,FALSE,"1.CRITERIA";#N/A,#N/A,FALSE,"2.IS";#N/A,#N/A,FALSE,"3.BS";#N/A,#N/A,FALSE,"4.PER PL";#N/A,#N/A,FALSE,"5.INVESTMENT";#N/A,#N/A,FALSE,"6.공문";#N/A,#N/A,FALSE,"7.netinvest"}</definedName>
    <definedName name="며며" hidden="1">{#N/A,#N/A,FALSE,"1.CRITERIA";#N/A,#N/A,FALSE,"2.IS";#N/A,#N/A,FALSE,"3.BS";#N/A,#N/A,FALSE,"4.PER PL";#N/A,#N/A,FALSE,"5.INVESTMENT";#N/A,#N/A,FALSE,"6.공문";#N/A,#N/A,FALSE,"7.netinvest"}</definedName>
    <definedName name="모모" localSheetId="1" hidden="1">{#N/A,#N/A,FALSE,"1.CRITERIA";#N/A,#N/A,FALSE,"2.IS";#N/A,#N/A,FALSE,"3.BS";#N/A,#N/A,FALSE,"4.PER PL";#N/A,#N/A,FALSE,"5.INVESTMENT";#N/A,#N/A,FALSE,"6.공문";#N/A,#N/A,FALSE,"7.netinvest"}</definedName>
    <definedName name="모모" localSheetId="3" hidden="1">{#N/A,#N/A,FALSE,"1.CRITERIA";#N/A,#N/A,FALSE,"2.IS";#N/A,#N/A,FALSE,"3.BS";#N/A,#N/A,FALSE,"4.PER PL";#N/A,#N/A,FALSE,"5.INVESTMENT";#N/A,#N/A,FALSE,"6.공문";#N/A,#N/A,FALSE,"7.netinvest"}</definedName>
    <definedName name="모모" localSheetId="4" hidden="1">{#N/A,#N/A,FALSE,"1.CRITERIA";#N/A,#N/A,FALSE,"2.IS";#N/A,#N/A,FALSE,"3.BS";#N/A,#N/A,FALSE,"4.PER PL";#N/A,#N/A,FALSE,"5.INVESTMENT";#N/A,#N/A,FALSE,"6.공문";#N/A,#N/A,FALSE,"7.netinvest"}</definedName>
    <definedName name="모모" localSheetId="5" hidden="1">{#N/A,#N/A,FALSE,"1.CRITERIA";#N/A,#N/A,FALSE,"2.IS";#N/A,#N/A,FALSE,"3.BS";#N/A,#N/A,FALSE,"4.PER PL";#N/A,#N/A,FALSE,"5.INVESTMENT";#N/A,#N/A,FALSE,"6.공문";#N/A,#N/A,FALSE,"7.netinvest"}</definedName>
    <definedName name="모모" hidden="1">{#N/A,#N/A,FALSE,"1.CRITERIA";#N/A,#N/A,FALSE,"2.IS";#N/A,#N/A,FALSE,"3.BS";#N/A,#N/A,FALSE,"4.PER PL";#N/A,#N/A,FALSE,"5.INVESTMENT";#N/A,#N/A,FALSE,"6.공문";#N/A,#N/A,FALSE,"7.netinvest"}</definedName>
    <definedName name="모임체현황" localSheetId="1" hidden="1">{#N/A,#N/A,FALSE,"지침";#N/A,#N/A,FALSE,"환경분석";#N/A,#N/A,FALSE,"Sheet16"}</definedName>
    <definedName name="모임체현황" localSheetId="3" hidden="1">{#N/A,#N/A,FALSE,"지침";#N/A,#N/A,FALSE,"환경분석";#N/A,#N/A,FALSE,"Sheet16"}</definedName>
    <definedName name="모임체현황" localSheetId="4" hidden="1">{#N/A,#N/A,FALSE,"지침";#N/A,#N/A,FALSE,"환경분석";#N/A,#N/A,FALSE,"Sheet16"}</definedName>
    <definedName name="모임체현황" localSheetId="5" hidden="1">{#N/A,#N/A,FALSE,"지침";#N/A,#N/A,FALSE,"환경분석";#N/A,#N/A,FALSE,"Sheet16"}</definedName>
    <definedName name="모임체현황" hidden="1">{#N/A,#N/A,FALSE,"지침";#N/A,#N/A,FALSE,"환경분석";#N/A,#N/A,FALSE,"Sheet16"}</definedName>
    <definedName name="무무" localSheetId="1" hidden="1">{#N/A,#N/A,FALSE,"1.CRITERIA";#N/A,#N/A,FALSE,"2.IS";#N/A,#N/A,FALSE,"3.BS";#N/A,#N/A,FALSE,"4.PER PL";#N/A,#N/A,FALSE,"5.INVESTMENT";#N/A,#N/A,FALSE,"6.공문";#N/A,#N/A,FALSE,"7.netinvest"}</definedName>
    <definedName name="무무" localSheetId="3" hidden="1">{#N/A,#N/A,FALSE,"1.CRITERIA";#N/A,#N/A,FALSE,"2.IS";#N/A,#N/A,FALSE,"3.BS";#N/A,#N/A,FALSE,"4.PER PL";#N/A,#N/A,FALSE,"5.INVESTMENT";#N/A,#N/A,FALSE,"6.공문";#N/A,#N/A,FALSE,"7.netinvest"}</definedName>
    <definedName name="무무" localSheetId="4" hidden="1">{#N/A,#N/A,FALSE,"1.CRITERIA";#N/A,#N/A,FALSE,"2.IS";#N/A,#N/A,FALSE,"3.BS";#N/A,#N/A,FALSE,"4.PER PL";#N/A,#N/A,FALSE,"5.INVESTMENT";#N/A,#N/A,FALSE,"6.공문";#N/A,#N/A,FALSE,"7.netinvest"}</definedName>
    <definedName name="무무" localSheetId="5" hidden="1">{#N/A,#N/A,FALSE,"1.CRITERIA";#N/A,#N/A,FALSE,"2.IS";#N/A,#N/A,FALSE,"3.BS";#N/A,#N/A,FALSE,"4.PER PL";#N/A,#N/A,FALSE,"5.INVESTMENT";#N/A,#N/A,FALSE,"6.공문";#N/A,#N/A,FALSE,"7.netinvest"}</definedName>
    <definedName name="무무" hidden="1">{#N/A,#N/A,FALSE,"1.CRITERIA";#N/A,#N/A,FALSE,"2.IS";#N/A,#N/A,FALSE,"3.BS";#N/A,#N/A,FALSE,"4.PER PL";#N/A,#N/A,FALSE,"5.INVESTMENT";#N/A,#N/A,FALSE,"6.공문";#N/A,#N/A,FALSE,"7.netinvest"}</definedName>
    <definedName name="뮤뮤" localSheetId="1" hidden="1">{#N/A,#N/A,FALSE,"1.CRITERIA";#N/A,#N/A,FALSE,"2.IS";#N/A,#N/A,FALSE,"3.BS";#N/A,#N/A,FALSE,"4.PER PL";#N/A,#N/A,FALSE,"5.INVESTMENT";#N/A,#N/A,FALSE,"6.공문";#N/A,#N/A,FALSE,"7.netinvest"}</definedName>
    <definedName name="뮤뮤" localSheetId="3" hidden="1">{#N/A,#N/A,FALSE,"1.CRITERIA";#N/A,#N/A,FALSE,"2.IS";#N/A,#N/A,FALSE,"3.BS";#N/A,#N/A,FALSE,"4.PER PL";#N/A,#N/A,FALSE,"5.INVESTMENT";#N/A,#N/A,FALSE,"6.공문";#N/A,#N/A,FALSE,"7.netinvest"}</definedName>
    <definedName name="뮤뮤" localSheetId="4" hidden="1">{#N/A,#N/A,FALSE,"1.CRITERIA";#N/A,#N/A,FALSE,"2.IS";#N/A,#N/A,FALSE,"3.BS";#N/A,#N/A,FALSE,"4.PER PL";#N/A,#N/A,FALSE,"5.INVESTMENT";#N/A,#N/A,FALSE,"6.공문";#N/A,#N/A,FALSE,"7.netinvest"}</definedName>
    <definedName name="뮤뮤" localSheetId="5" hidden="1">{#N/A,#N/A,FALSE,"1.CRITERIA";#N/A,#N/A,FALSE,"2.IS";#N/A,#N/A,FALSE,"3.BS";#N/A,#N/A,FALSE,"4.PER PL";#N/A,#N/A,FALSE,"5.INVESTMENT";#N/A,#N/A,FALSE,"6.공문";#N/A,#N/A,FALSE,"7.netinvest"}</definedName>
    <definedName name="뮤뮤" hidden="1">{#N/A,#N/A,FALSE,"1.CRITERIA";#N/A,#N/A,FALSE,"2.IS";#N/A,#N/A,FALSE,"3.BS";#N/A,#N/A,FALSE,"4.PER PL";#N/A,#N/A,FALSE,"5.INVESTMENT";#N/A,#N/A,FALSE,"6.공문";#N/A,#N/A,FALSE,"7.netinvest"}</definedName>
    <definedName name="미미" localSheetId="1" hidden="1">{#N/A,#N/A,FALSE,"1.CRITERIA";#N/A,#N/A,FALSE,"2.IS";#N/A,#N/A,FALSE,"3.BS";#N/A,#N/A,FALSE,"4.PER PL";#N/A,#N/A,FALSE,"5.INVESTMENT";#N/A,#N/A,FALSE,"6.공문";#N/A,#N/A,FALSE,"7.netinvest"}</definedName>
    <definedName name="미미" localSheetId="3" hidden="1">{#N/A,#N/A,FALSE,"1.CRITERIA";#N/A,#N/A,FALSE,"2.IS";#N/A,#N/A,FALSE,"3.BS";#N/A,#N/A,FALSE,"4.PER PL";#N/A,#N/A,FALSE,"5.INVESTMENT";#N/A,#N/A,FALSE,"6.공문";#N/A,#N/A,FALSE,"7.netinvest"}</definedName>
    <definedName name="미미" localSheetId="4" hidden="1">{#N/A,#N/A,FALSE,"1.CRITERIA";#N/A,#N/A,FALSE,"2.IS";#N/A,#N/A,FALSE,"3.BS";#N/A,#N/A,FALSE,"4.PER PL";#N/A,#N/A,FALSE,"5.INVESTMENT";#N/A,#N/A,FALSE,"6.공문";#N/A,#N/A,FALSE,"7.netinvest"}</definedName>
    <definedName name="미미" localSheetId="5" hidden="1">{#N/A,#N/A,FALSE,"1.CRITERIA";#N/A,#N/A,FALSE,"2.IS";#N/A,#N/A,FALSE,"3.BS";#N/A,#N/A,FALSE,"4.PER PL";#N/A,#N/A,FALSE,"5.INVESTMENT";#N/A,#N/A,FALSE,"6.공문";#N/A,#N/A,FALSE,"7.netinvest"}</definedName>
    <definedName name="미미" hidden="1">{#N/A,#N/A,FALSE,"1.CRITERIA";#N/A,#N/A,FALSE,"2.IS";#N/A,#N/A,FALSE,"3.BS";#N/A,#N/A,FALSE,"4.PER PL";#N/A,#N/A,FALSE,"5.INVESTMENT";#N/A,#N/A,FALSE,"6.공문";#N/A,#N/A,FALSE,"7.netinvest"}</definedName>
    <definedName name="미수금" localSheetId="1" hidden="1">{#N/A,#N/A,FALSE,"1.CRITERIA";#N/A,#N/A,FALSE,"2.IS";#N/A,#N/A,FALSE,"3.BS";#N/A,#N/A,FALSE,"4.PER PL";#N/A,#N/A,FALSE,"5.INVESTMENT";#N/A,#N/A,FALSE,"6.공문";#N/A,#N/A,FALSE,"7.netinvest"}</definedName>
    <definedName name="미수금" localSheetId="3" hidden="1">{#N/A,#N/A,FALSE,"1.CRITERIA";#N/A,#N/A,FALSE,"2.IS";#N/A,#N/A,FALSE,"3.BS";#N/A,#N/A,FALSE,"4.PER PL";#N/A,#N/A,FALSE,"5.INVESTMENT";#N/A,#N/A,FALSE,"6.공문";#N/A,#N/A,FALSE,"7.netinvest"}</definedName>
    <definedName name="미수금" localSheetId="4" hidden="1">{#N/A,#N/A,FALSE,"1.CRITERIA";#N/A,#N/A,FALSE,"2.IS";#N/A,#N/A,FALSE,"3.BS";#N/A,#N/A,FALSE,"4.PER PL";#N/A,#N/A,FALSE,"5.INVESTMENT";#N/A,#N/A,FALSE,"6.공문";#N/A,#N/A,FALSE,"7.netinvest"}</definedName>
    <definedName name="미수금" localSheetId="5" hidden="1">{#N/A,#N/A,FALSE,"1.CRITERIA";#N/A,#N/A,FALSE,"2.IS";#N/A,#N/A,FALSE,"3.BS";#N/A,#N/A,FALSE,"4.PER PL";#N/A,#N/A,FALSE,"5.INVESTMENT";#N/A,#N/A,FALSE,"6.공문";#N/A,#N/A,FALSE,"7.netinvest"}</definedName>
    <definedName name="미수금" hidden="1">{#N/A,#N/A,FALSE,"1.CRITERIA";#N/A,#N/A,FALSE,"2.IS";#N/A,#N/A,FALSE,"3.BS";#N/A,#N/A,FALSE,"4.PER PL";#N/A,#N/A,FALSE,"5.INVESTMENT";#N/A,#N/A,FALSE,"6.공문";#N/A,#N/A,FALSE,"7.netinvest"}</definedName>
    <definedName name="ㅂ" localSheetId="1" hidden="1">{#N/A,#N/A,FALSE,"지침";#N/A,#N/A,FALSE,"환경분석";#N/A,#N/A,FALSE,"Sheet16"}</definedName>
    <definedName name="ㅂ" localSheetId="3" hidden="1">{#N/A,#N/A,FALSE,"지침";#N/A,#N/A,FALSE,"환경분석";#N/A,#N/A,FALSE,"Sheet16"}</definedName>
    <definedName name="ㅂ" localSheetId="4" hidden="1">{#N/A,#N/A,FALSE,"지침";#N/A,#N/A,FALSE,"환경분석";#N/A,#N/A,FALSE,"Sheet16"}</definedName>
    <definedName name="ㅂ" localSheetId="5" hidden="1">{#N/A,#N/A,FALSE,"지침";#N/A,#N/A,FALSE,"환경분석";#N/A,#N/A,FALSE,"Sheet16"}</definedName>
    <definedName name="ㅂ" hidden="1">{#N/A,#N/A,FALSE,"지침";#N/A,#N/A,FALSE,"환경분석";#N/A,#N/A,FALSE,"Sheet16"}</definedName>
    <definedName name="ㅂㅂㅈ" localSheetId="1" hidden="1">{#N/A,#N/A,FALSE,"지침";#N/A,#N/A,FALSE,"환경분석";#N/A,#N/A,FALSE,"Sheet16"}</definedName>
    <definedName name="ㅂㅂㅈ" localSheetId="3" hidden="1">{#N/A,#N/A,FALSE,"지침";#N/A,#N/A,FALSE,"환경분석";#N/A,#N/A,FALSE,"Sheet16"}</definedName>
    <definedName name="ㅂㅂㅈ" localSheetId="4" hidden="1">{#N/A,#N/A,FALSE,"지침";#N/A,#N/A,FALSE,"환경분석";#N/A,#N/A,FALSE,"Sheet16"}</definedName>
    <definedName name="ㅂㅂㅈ" localSheetId="5" hidden="1">{#N/A,#N/A,FALSE,"지침";#N/A,#N/A,FALSE,"환경분석";#N/A,#N/A,FALSE,"Sheet16"}</definedName>
    <definedName name="ㅂㅂㅈ" hidden="1">{#N/A,#N/A,FALSE,"지침";#N/A,#N/A,FALSE,"환경분석";#N/A,#N/A,FALSE,"Sheet16"}</definedName>
    <definedName name="ㅂㅈㄷㅂㅈㄷ" localSheetId="1" hidden="1">{#N/A,#N/A,FALSE,"지침";#N/A,#N/A,FALSE,"환경분석";#N/A,#N/A,FALSE,"Sheet16"}</definedName>
    <definedName name="ㅂㅈㄷㅂㅈㄷ" localSheetId="3" hidden="1">{#N/A,#N/A,FALSE,"지침";#N/A,#N/A,FALSE,"환경분석";#N/A,#N/A,FALSE,"Sheet16"}</definedName>
    <definedName name="ㅂㅈㄷㅂㅈㄷ" localSheetId="4" hidden="1">{#N/A,#N/A,FALSE,"지침";#N/A,#N/A,FALSE,"환경분석";#N/A,#N/A,FALSE,"Sheet16"}</definedName>
    <definedName name="ㅂㅈㄷㅂㅈㄷ" localSheetId="5" hidden="1">{#N/A,#N/A,FALSE,"지침";#N/A,#N/A,FALSE,"환경분석";#N/A,#N/A,FALSE,"Sheet16"}</definedName>
    <definedName name="ㅂㅈㄷㅂㅈㄷ" hidden="1">{#N/A,#N/A,FALSE,"지침";#N/A,#N/A,FALSE,"환경분석";#N/A,#N/A,FALSE,"Sheet16"}</definedName>
    <definedName name="바" localSheetId="1" hidden="1">{#N/A,#N/A,FALSE,"1.CRITERIA";#N/A,#N/A,FALSE,"2.IS";#N/A,#N/A,FALSE,"3.BS";#N/A,#N/A,FALSE,"4.PER PL";#N/A,#N/A,FALSE,"5.INVESTMENT";#N/A,#N/A,FALSE,"6.공문";#N/A,#N/A,FALSE,"7.netinvest"}</definedName>
    <definedName name="바" localSheetId="3" hidden="1">{#N/A,#N/A,FALSE,"1.CRITERIA";#N/A,#N/A,FALSE,"2.IS";#N/A,#N/A,FALSE,"3.BS";#N/A,#N/A,FALSE,"4.PER PL";#N/A,#N/A,FALSE,"5.INVESTMENT";#N/A,#N/A,FALSE,"6.공문";#N/A,#N/A,FALSE,"7.netinvest"}</definedName>
    <definedName name="바" localSheetId="4" hidden="1">{#N/A,#N/A,FALSE,"1.CRITERIA";#N/A,#N/A,FALSE,"2.IS";#N/A,#N/A,FALSE,"3.BS";#N/A,#N/A,FALSE,"4.PER PL";#N/A,#N/A,FALSE,"5.INVESTMENT";#N/A,#N/A,FALSE,"6.공문";#N/A,#N/A,FALSE,"7.netinvest"}</definedName>
    <definedName name="바" localSheetId="5" hidden="1">{#N/A,#N/A,FALSE,"1.CRITERIA";#N/A,#N/A,FALSE,"2.IS";#N/A,#N/A,FALSE,"3.BS";#N/A,#N/A,FALSE,"4.PER PL";#N/A,#N/A,FALSE,"5.INVESTMENT";#N/A,#N/A,FALSE,"6.공문";#N/A,#N/A,FALSE,"7.netinvest"}</definedName>
    <definedName name="바" hidden="1">{#N/A,#N/A,FALSE,"1.CRITERIA";#N/A,#N/A,FALSE,"2.IS";#N/A,#N/A,FALSE,"3.BS";#N/A,#N/A,FALSE,"4.PER PL";#N/A,#N/A,FALSE,"5.INVESTMENT";#N/A,#N/A,FALSE,"6.공문";#N/A,#N/A,FALSE,"7.netinvest"}</definedName>
    <definedName name="바라" localSheetId="1" hidden="1">{#N/A,#N/A,FALSE,"1.CRITERIA";#N/A,#N/A,FALSE,"2.IS";#N/A,#N/A,FALSE,"3.BS";#N/A,#N/A,FALSE,"4.PER PL";#N/A,#N/A,FALSE,"5.INVESTMENT";#N/A,#N/A,FALSE,"6.공문";#N/A,#N/A,FALSE,"7.netinvest"}</definedName>
    <definedName name="바라" localSheetId="3" hidden="1">{#N/A,#N/A,FALSE,"1.CRITERIA";#N/A,#N/A,FALSE,"2.IS";#N/A,#N/A,FALSE,"3.BS";#N/A,#N/A,FALSE,"4.PER PL";#N/A,#N/A,FALSE,"5.INVESTMENT";#N/A,#N/A,FALSE,"6.공문";#N/A,#N/A,FALSE,"7.netinvest"}</definedName>
    <definedName name="바라" localSheetId="4" hidden="1">{#N/A,#N/A,FALSE,"1.CRITERIA";#N/A,#N/A,FALSE,"2.IS";#N/A,#N/A,FALSE,"3.BS";#N/A,#N/A,FALSE,"4.PER PL";#N/A,#N/A,FALSE,"5.INVESTMENT";#N/A,#N/A,FALSE,"6.공문";#N/A,#N/A,FALSE,"7.netinvest"}</definedName>
    <definedName name="바라" localSheetId="5" hidden="1">{#N/A,#N/A,FALSE,"1.CRITERIA";#N/A,#N/A,FALSE,"2.IS";#N/A,#N/A,FALSE,"3.BS";#N/A,#N/A,FALSE,"4.PER PL";#N/A,#N/A,FALSE,"5.INVESTMENT";#N/A,#N/A,FALSE,"6.공문";#N/A,#N/A,FALSE,"7.netinvest"}</definedName>
    <definedName name="바라" hidden="1">{#N/A,#N/A,FALSE,"1.CRITERIA";#N/A,#N/A,FALSE,"2.IS";#N/A,#N/A,FALSE,"3.BS";#N/A,#N/A,FALSE,"4.PER PL";#N/A,#N/A,FALSE,"5.INVESTMENT";#N/A,#N/A,FALSE,"6.공문";#N/A,#N/A,FALSE,"7.netinvest"}</definedName>
    <definedName name="바바" localSheetId="1" hidden="1">{#N/A,#N/A,FALSE,"1.CRITERIA";#N/A,#N/A,FALSE,"2.IS";#N/A,#N/A,FALSE,"3.BS";#N/A,#N/A,FALSE,"4.PER PL";#N/A,#N/A,FALSE,"5.INVESTMENT";#N/A,#N/A,FALSE,"6.공문";#N/A,#N/A,FALSE,"7.netinvest"}</definedName>
    <definedName name="바바" localSheetId="3" hidden="1">{#N/A,#N/A,FALSE,"1.CRITERIA";#N/A,#N/A,FALSE,"2.IS";#N/A,#N/A,FALSE,"3.BS";#N/A,#N/A,FALSE,"4.PER PL";#N/A,#N/A,FALSE,"5.INVESTMENT";#N/A,#N/A,FALSE,"6.공문";#N/A,#N/A,FALSE,"7.netinvest"}</definedName>
    <definedName name="바바" localSheetId="4" hidden="1">{#N/A,#N/A,FALSE,"1.CRITERIA";#N/A,#N/A,FALSE,"2.IS";#N/A,#N/A,FALSE,"3.BS";#N/A,#N/A,FALSE,"4.PER PL";#N/A,#N/A,FALSE,"5.INVESTMENT";#N/A,#N/A,FALSE,"6.공문";#N/A,#N/A,FALSE,"7.netinvest"}</definedName>
    <definedName name="바바" localSheetId="5" hidden="1">{#N/A,#N/A,FALSE,"1.CRITERIA";#N/A,#N/A,FALSE,"2.IS";#N/A,#N/A,FALSE,"3.BS";#N/A,#N/A,FALSE,"4.PER PL";#N/A,#N/A,FALSE,"5.INVESTMENT";#N/A,#N/A,FALSE,"6.공문";#N/A,#N/A,FALSE,"7.netinvest"}</definedName>
    <definedName name="바바" hidden="1">{#N/A,#N/A,FALSE,"1.CRITERIA";#N/A,#N/A,FALSE,"2.IS";#N/A,#N/A,FALSE,"3.BS";#N/A,#N/A,FALSE,"4.PER PL";#N/A,#N/A,FALSE,"5.INVESTMENT";#N/A,#N/A,FALSE,"6.공문";#N/A,#N/A,FALSE,"7.netinvest"}</definedName>
    <definedName name="바보" localSheetId="1" hidden="1">{#N/A,#N/A,FALSE,"지침";#N/A,#N/A,FALSE,"환경분석";#N/A,#N/A,FALSE,"Sheet16"}</definedName>
    <definedName name="바보" localSheetId="3" hidden="1">{#N/A,#N/A,FALSE,"지침";#N/A,#N/A,FALSE,"환경분석";#N/A,#N/A,FALSE,"Sheet16"}</definedName>
    <definedName name="바보" localSheetId="4" hidden="1">{#N/A,#N/A,FALSE,"지침";#N/A,#N/A,FALSE,"환경분석";#N/A,#N/A,FALSE,"Sheet16"}</definedName>
    <definedName name="바보" localSheetId="5" hidden="1">{#N/A,#N/A,FALSE,"지침";#N/A,#N/A,FALSE,"환경분석";#N/A,#N/A,FALSE,"Sheet16"}</definedName>
    <definedName name="바보" hidden="1">{#N/A,#N/A,FALSE,"지침";#N/A,#N/A,FALSE,"환경분석";#N/A,#N/A,FALSE,"Sheet16"}</definedName>
    <definedName name="바이" localSheetId="1" hidden="1">{#N/A,#N/A,FALSE,"1.CRITERIA";#N/A,#N/A,FALSE,"2.IS";#N/A,#N/A,FALSE,"3.BS";#N/A,#N/A,FALSE,"4.PER PL";#N/A,#N/A,FALSE,"5.INVESTMENT";#N/A,#N/A,FALSE,"6.공문";#N/A,#N/A,FALSE,"7.netinvest"}</definedName>
    <definedName name="바이" localSheetId="3" hidden="1">{#N/A,#N/A,FALSE,"1.CRITERIA";#N/A,#N/A,FALSE,"2.IS";#N/A,#N/A,FALSE,"3.BS";#N/A,#N/A,FALSE,"4.PER PL";#N/A,#N/A,FALSE,"5.INVESTMENT";#N/A,#N/A,FALSE,"6.공문";#N/A,#N/A,FALSE,"7.netinvest"}</definedName>
    <definedName name="바이" localSheetId="4" hidden="1">{#N/A,#N/A,FALSE,"1.CRITERIA";#N/A,#N/A,FALSE,"2.IS";#N/A,#N/A,FALSE,"3.BS";#N/A,#N/A,FALSE,"4.PER PL";#N/A,#N/A,FALSE,"5.INVESTMENT";#N/A,#N/A,FALSE,"6.공문";#N/A,#N/A,FALSE,"7.netinvest"}</definedName>
    <definedName name="바이" localSheetId="5" hidden="1">{#N/A,#N/A,FALSE,"1.CRITERIA";#N/A,#N/A,FALSE,"2.IS";#N/A,#N/A,FALSE,"3.BS";#N/A,#N/A,FALSE,"4.PER PL";#N/A,#N/A,FALSE,"5.INVESTMENT";#N/A,#N/A,FALSE,"6.공문";#N/A,#N/A,FALSE,"7.netinvest"}</definedName>
    <definedName name="바이" hidden="1">{#N/A,#N/A,FALSE,"1.CRITERIA";#N/A,#N/A,FALSE,"2.IS";#N/A,#N/A,FALSE,"3.BS";#N/A,#N/A,FALSE,"4.PER PL";#N/A,#N/A,FALSE,"5.INVESTMENT";#N/A,#N/A,FALSE,"6.공문";#N/A,#N/A,FALSE,"7.netinvest"}</definedName>
    <definedName name="보라차" localSheetId="1" hidden="1">{#N/A,#N/A,FALSE,"1.CRITERIA";#N/A,#N/A,FALSE,"2.IS";#N/A,#N/A,FALSE,"3.BS";#N/A,#N/A,FALSE,"4.PER PL";#N/A,#N/A,FALSE,"5.INVESTMENT";#N/A,#N/A,FALSE,"6.공문";#N/A,#N/A,FALSE,"7.netinvest"}</definedName>
    <definedName name="보라차" localSheetId="3" hidden="1">{#N/A,#N/A,FALSE,"1.CRITERIA";#N/A,#N/A,FALSE,"2.IS";#N/A,#N/A,FALSE,"3.BS";#N/A,#N/A,FALSE,"4.PER PL";#N/A,#N/A,FALSE,"5.INVESTMENT";#N/A,#N/A,FALSE,"6.공문";#N/A,#N/A,FALSE,"7.netinvest"}</definedName>
    <definedName name="보라차" localSheetId="4" hidden="1">{#N/A,#N/A,FALSE,"1.CRITERIA";#N/A,#N/A,FALSE,"2.IS";#N/A,#N/A,FALSE,"3.BS";#N/A,#N/A,FALSE,"4.PER PL";#N/A,#N/A,FALSE,"5.INVESTMENT";#N/A,#N/A,FALSE,"6.공문";#N/A,#N/A,FALSE,"7.netinvest"}</definedName>
    <definedName name="보라차" localSheetId="5" hidden="1">{#N/A,#N/A,FALSE,"1.CRITERIA";#N/A,#N/A,FALSE,"2.IS";#N/A,#N/A,FALSE,"3.BS";#N/A,#N/A,FALSE,"4.PER PL";#N/A,#N/A,FALSE,"5.INVESTMENT";#N/A,#N/A,FALSE,"6.공문";#N/A,#N/A,FALSE,"7.netinvest"}</definedName>
    <definedName name="보라차" hidden="1">{#N/A,#N/A,FALSE,"1.CRITERIA";#N/A,#N/A,FALSE,"2.IS";#N/A,#N/A,FALSE,"3.BS";#N/A,#N/A,FALSE,"4.PER PL";#N/A,#N/A,FALSE,"5.INVESTMENT";#N/A,#N/A,FALSE,"6.공문";#N/A,#N/A,FALSE,"7.netinvest"}</definedName>
    <definedName name="보아리" localSheetId="1" hidden="1">{#N/A,#N/A,FALSE,"1.CRITERIA";#N/A,#N/A,FALSE,"2.IS";#N/A,#N/A,FALSE,"3.BS";#N/A,#N/A,FALSE,"4.PER PL";#N/A,#N/A,FALSE,"5.INVESTMENT";#N/A,#N/A,FALSE,"6.공문";#N/A,#N/A,FALSE,"7.netinvest"}</definedName>
    <definedName name="보아리" localSheetId="3" hidden="1">{#N/A,#N/A,FALSE,"1.CRITERIA";#N/A,#N/A,FALSE,"2.IS";#N/A,#N/A,FALSE,"3.BS";#N/A,#N/A,FALSE,"4.PER PL";#N/A,#N/A,FALSE,"5.INVESTMENT";#N/A,#N/A,FALSE,"6.공문";#N/A,#N/A,FALSE,"7.netinvest"}</definedName>
    <definedName name="보아리" localSheetId="4" hidden="1">{#N/A,#N/A,FALSE,"1.CRITERIA";#N/A,#N/A,FALSE,"2.IS";#N/A,#N/A,FALSE,"3.BS";#N/A,#N/A,FALSE,"4.PER PL";#N/A,#N/A,FALSE,"5.INVESTMENT";#N/A,#N/A,FALSE,"6.공문";#N/A,#N/A,FALSE,"7.netinvest"}</definedName>
    <definedName name="보아리" localSheetId="5" hidden="1">{#N/A,#N/A,FALSE,"1.CRITERIA";#N/A,#N/A,FALSE,"2.IS";#N/A,#N/A,FALSE,"3.BS";#N/A,#N/A,FALSE,"4.PER PL";#N/A,#N/A,FALSE,"5.INVESTMENT";#N/A,#N/A,FALSE,"6.공문";#N/A,#N/A,FALSE,"7.netinvest"}</definedName>
    <definedName name="보아리" hidden="1">{#N/A,#N/A,FALSE,"1.CRITERIA";#N/A,#N/A,FALSE,"2.IS";#N/A,#N/A,FALSE,"3.BS";#N/A,#N/A,FALSE,"4.PER PL";#N/A,#N/A,FALSE,"5.INVESTMENT";#N/A,#N/A,FALSE,"6.공문";#N/A,#N/A,FALSE,"7.netinvest"}</definedName>
    <definedName name="보이" localSheetId="1" hidden="1">{#N/A,#N/A,FALSE,"1.CRITERIA";#N/A,#N/A,FALSE,"2.IS";#N/A,#N/A,FALSE,"3.BS";#N/A,#N/A,FALSE,"4.PER PL";#N/A,#N/A,FALSE,"5.INVESTMENT";#N/A,#N/A,FALSE,"6.공문";#N/A,#N/A,FALSE,"7.netinvest"}</definedName>
    <definedName name="보이" localSheetId="3" hidden="1">{#N/A,#N/A,FALSE,"1.CRITERIA";#N/A,#N/A,FALSE,"2.IS";#N/A,#N/A,FALSE,"3.BS";#N/A,#N/A,FALSE,"4.PER PL";#N/A,#N/A,FALSE,"5.INVESTMENT";#N/A,#N/A,FALSE,"6.공문";#N/A,#N/A,FALSE,"7.netinvest"}</definedName>
    <definedName name="보이" localSheetId="4" hidden="1">{#N/A,#N/A,FALSE,"1.CRITERIA";#N/A,#N/A,FALSE,"2.IS";#N/A,#N/A,FALSE,"3.BS";#N/A,#N/A,FALSE,"4.PER PL";#N/A,#N/A,FALSE,"5.INVESTMENT";#N/A,#N/A,FALSE,"6.공문";#N/A,#N/A,FALSE,"7.netinvest"}</definedName>
    <definedName name="보이" localSheetId="5" hidden="1">{#N/A,#N/A,FALSE,"1.CRITERIA";#N/A,#N/A,FALSE,"2.IS";#N/A,#N/A,FALSE,"3.BS";#N/A,#N/A,FALSE,"4.PER PL";#N/A,#N/A,FALSE,"5.INVESTMENT";#N/A,#N/A,FALSE,"6.공문";#N/A,#N/A,FALSE,"7.netinvest"}</definedName>
    <definedName name="보이" hidden="1">{#N/A,#N/A,FALSE,"1.CRITERIA";#N/A,#N/A,FALSE,"2.IS";#N/A,#N/A,FALSE,"3.BS";#N/A,#N/A,FALSE,"4.PER PL";#N/A,#N/A,FALSE,"5.INVESTMENT";#N/A,#N/A,FALSE,"6.공문";#N/A,#N/A,FALSE,"7.netinvest"}</definedName>
    <definedName name="보이아" localSheetId="1" hidden="1">{#N/A,#N/A,FALSE,"1.CRITERIA";#N/A,#N/A,FALSE,"2.IS";#N/A,#N/A,FALSE,"3.BS";#N/A,#N/A,FALSE,"4.PER PL";#N/A,#N/A,FALSE,"5.INVESTMENT";#N/A,#N/A,FALSE,"6.공문";#N/A,#N/A,FALSE,"7.netinvest"}</definedName>
    <definedName name="보이아" localSheetId="3" hidden="1">{#N/A,#N/A,FALSE,"1.CRITERIA";#N/A,#N/A,FALSE,"2.IS";#N/A,#N/A,FALSE,"3.BS";#N/A,#N/A,FALSE,"4.PER PL";#N/A,#N/A,FALSE,"5.INVESTMENT";#N/A,#N/A,FALSE,"6.공문";#N/A,#N/A,FALSE,"7.netinvest"}</definedName>
    <definedName name="보이아" localSheetId="4" hidden="1">{#N/A,#N/A,FALSE,"1.CRITERIA";#N/A,#N/A,FALSE,"2.IS";#N/A,#N/A,FALSE,"3.BS";#N/A,#N/A,FALSE,"4.PER PL";#N/A,#N/A,FALSE,"5.INVESTMENT";#N/A,#N/A,FALSE,"6.공문";#N/A,#N/A,FALSE,"7.netinvest"}</definedName>
    <definedName name="보이아" localSheetId="5" hidden="1">{#N/A,#N/A,FALSE,"1.CRITERIA";#N/A,#N/A,FALSE,"2.IS";#N/A,#N/A,FALSE,"3.BS";#N/A,#N/A,FALSE,"4.PER PL";#N/A,#N/A,FALSE,"5.INVESTMENT";#N/A,#N/A,FALSE,"6.공문";#N/A,#N/A,FALSE,"7.netinvest"}</definedName>
    <definedName name="보이아" hidden="1">{#N/A,#N/A,FALSE,"1.CRITERIA";#N/A,#N/A,FALSE,"2.IS";#N/A,#N/A,FALSE,"3.BS";#N/A,#N/A,FALSE,"4.PER PL";#N/A,#N/A,FALSE,"5.INVESTMENT";#N/A,#N/A,FALSE,"6.공문";#N/A,#N/A,FALSE,"7.netinvest"}</definedName>
    <definedName name="부속" hidden="1">#REF!</definedName>
    <definedName name="비비비" hidden="1">#REF!</definedName>
    <definedName name="비율2" hidden="1">#REF!</definedName>
    <definedName name="빙수" localSheetId="1" hidden="1">{#N/A,#N/A,FALSE,"1.CRITERIA";#N/A,#N/A,FALSE,"2.IS";#N/A,#N/A,FALSE,"3.BS";#N/A,#N/A,FALSE,"4.PER PL";#N/A,#N/A,FALSE,"5.INVESTMENT";#N/A,#N/A,FALSE,"6.공문";#N/A,#N/A,FALSE,"7.netinvest"}</definedName>
    <definedName name="빙수" localSheetId="3" hidden="1">{#N/A,#N/A,FALSE,"1.CRITERIA";#N/A,#N/A,FALSE,"2.IS";#N/A,#N/A,FALSE,"3.BS";#N/A,#N/A,FALSE,"4.PER PL";#N/A,#N/A,FALSE,"5.INVESTMENT";#N/A,#N/A,FALSE,"6.공문";#N/A,#N/A,FALSE,"7.netinvest"}</definedName>
    <definedName name="빙수" localSheetId="4" hidden="1">{#N/A,#N/A,FALSE,"1.CRITERIA";#N/A,#N/A,FALSE,"2.IS";#N/A,#N/A,FALSE,"3.BS";#N/A,#N/A,FALSE,"4.PER PL";#N/A,#N/A,FALSE,"5.INVESTMENT";#N/A,#N/A,FALSE,"6.공문";#N/A,#N/A,FALSE,"7.netinvest"}</definedName>
    <definedName name="빙수" localSheetId="5" hidden="1">{#N/A,#N/A,FALSE,"1.CRITERIA";#N/A,#N/A,FALSE,"2.IS";#N/A,#N/A,FALSE,"3.BS";#N/A,#N/A,FALSE,"4.PER PL";#N/A,#N/A,FALSE,"5.INVESTMENT";#N/A,#N/A,FALSE,"6.공문";#N/A,#N/A,FALSE,"7.netinvest"}</definedName>
    <definedName name="빙수" hidden="1">{#N/A,#N/A,FALSE,"1.CRITERIA";#N/A,#N/A,FALSE,"2.IS";#N/A,#N/A,FALSE,"3.BS";#N/A,#N/A,FALSE,"4.PER PL";#N/A,#N/A,FALSE,"5.INVESTMENT";#N/A,#N/A,FALSE,"6.공문";#N/A,#N/A,FALSE,"7.netinvest"}</definedName>
    <definedName name="ㅅㅅㅅㅅㅅ" localSheetId="1" hidden="1">{#N/A,#N/A,FALSE,"지침";#N/A,#N/A,FALSE,"환경분석";#N/A,#N/A,FALSE,"Sheet16"}</definedName>
    <definedName name="ㅅㅅㅅㅅㅅ" localSheetId="3" hidden="1">{#N/A,#N/A,FALSE,"지침";#N/A,#N/A,FALSE,"환경분석";#N/A,#N/A,FALSE,"Sheet16"}</definedName>
    <definedName name="ㅅㅅㅅㅅㅅ" localSheetId="4" hidden="1">{#N/A,#N/A,FALSE,"지침";#N/A,#N/A,FALSE,"환경분석";#N/A,#N/A,FALSE,"Sheet16"}</definedName>
    <definedName name="ㅅㅅㅅㅅㅅ" localSheetId="5" hidden="1">{#N/A,#N/A,FALSE,"지침";#N/A,#N/A,FALSE,"환경분석";#N/A,#N/A,FALSE,"Sheet16"}</definedName>
    <definedName name="ㅅㅅㅅㅅㅅ" hidden="1">{#N/A,#N/A,FALSE,"지침";#N/A,#N/A,FALSE,"환경분석";#N/A,#N/A,FALSE,"Sheet16"}</definedName>
    <definedName name="ㅅㅅㅅㅅㅅㅅ" localSheetId="1" hidden="1">{#N/A,#N/A,FALSE,"지침";#N/A,#N/A,FALSE,"환경분석";#N/A,#N/A,FALSE,"Sheet16"}</definedName>
    <definedName name="ㅅㅅㅅㅅㅅㅅ" localSheetId="3" hidden="1">{#N/A,#N/A,FALSE,"지침";#N/A,#N/A,FALSE,"환경분석";#N/A,#N/A,FALSE,"Sheet16"}</definedName>
    <definedName name="ㅅㅅㅅㅅㅅㅅ" localSheetId="4" hidden="1">{#N/A,#N/A,FALSE,"지침";#N/A,#N/A,FALSE,"환경분석";#N/A,#N/A,FALSE,"Sheet16"}</definedName>
    <definedName name="ㅅㅅㅅㅅㅅㅅ" localSheetId="5" hidden="1">{#N/A,#N/A,FALSE,"지침";#N/A,#N/A,FALSE,"환경분석";#N/A,#N/A,FALSE,"Sheet16"}</definedName>
    <definedName name="ㅅㅅㅅㅅㅅㅅ" hidden="1">{#N/A,#N/A,FALSE,"지침";#N/A,#N/A,FALSE,"환경분석";#N/A,#N/A,FALSE,"Sheet16"}</definedName>
    <definedName name="ㅅㅅㅅㅅㅅㅐㅐ" localSheetId="1" hidden="1">{#N/A,#N/A,FALSE,"지침";#N/A,#N/A,FALSE,"환경분석";#N/A,#N/A,FALSE,"Sheet16"}</definedName>
    <definedName name="ㅅㅅㅅㅅㅅㅐㅐ" localSheetId="3" hidden="1">{#N/A,#N/A,FALSE,"지침";#N/A,#N/A,FALSE,"환경분석";#N/A,#N/A,FALSE,"Sheet16"}</definedName>
    <definedName name="ㅅㅅㅅㅅㅅㅐㅐ" localSheetId="4" hidden="1">{#N/A,#N/A,FALSE,"지침";#N/A,#N/A,FALSE,"환경분석";#N/A,#N/A,FALSE,"Sheet16"}</definedName>
    <definedName name="ㅅㅅㅅㅅㅅㅐㅐ" localSheetId="5" hidden="1">{#N/A,#N/A,FALSE,"지침";#N/A,#N/A,FALSE,"환경분석";#N/A,#N/A,FALSE,"Sheet16"}</definedName>
    <definedName name="ㅅㅅㅅㅅㅅㅐㅐ" hidden="1">{#N/A,#N/A,FALSE,"지침";#N/A,#N/A,FALSE,"환경분석";#N/A,#N/A,FALSE,"Sheet16"}</definedName>
    <definedName name="사" localSheetId="1" hidden="1">{#N/A,#N/A,FALSE,"지침";#N/A,#N/A,FALSE,"환경분석";#N/A,#N/A,FALSE,"Sheet16"}</definedName>
    <definedName name="사" localSheetId="3" hidden="1">{#N/A,#N/A,FALSE,"지침";#N/A,#N/A,FALSE,"환경분석";#N/A,#N/A,FALSE,"Sheet16"}</definedName>
    <definedName name="사" localSheetId="4" hidden="1">{#N/A,#N/A,FALSE,"지침";#N/A,#N/A,FALSE,"환경분석";#N/A,#N/A,FALSE,"Sheet16"}</definedName>
    <definedName name="사" localSheetId="5" hidden="1">{#N/A,#N/A,FALSE,"지침";#N/A,#N/A,FALSE,"환경분석";#N/A,#N/A,FALSE,"Sheet16"}</definedName>
    <definedName name="사" hidden="1">{#N/A,#N/A,FALSE,"지침";#N/A,#N/A,FALSE,"환경분석";#N/A,#N/A,FALSE,"Sheet16"}</definedName>
    <definedName name="사1" localSheetId="1" hidden="1">{#N/A,#N/A,FALSE,"지침";#N/A,#N/A,FALSE,"환경분석";#N/A,#N/A,FALSE,"Sheet16"}</definedName>
    <definedName name="사1" localSheetId="3" hidden="1">{#N/A,#N/A,FALSE,"지침";#N/A,#N/A,FALSE,"환경분석";#N/A,#N/A,FALSE,"Sheet16"}</definedName>
    <definedName name="사1" localSheetId="4" hidden="1">{#N/A,#N/A,FALSE,"지침";#N/A,#N/A,FALSE,"환경분석";#N/A,#N/A,FALSE,"Sheet16"}</definedName>
    <definedName name="사1" localSheetId="5" hidden="1">{#N/A,#N/A,FALSE,"지침";#N/A,#N/A,FALSE,"환경분석";#N/A,#N/A,FALSE,"Sheet16"}</definedName>
    <definedName name="사1" hidden="1">{#N/A,#N/A,FALSE,"지침";#N/A,#N/A,FALSE,"환경분석";#N/A,#N/A,FALSE,"Sheet16"}</definedName>
    <definedName name="사원미지급" localSheetId="1" hidden="1">{#N/A,#N/A,FALSE,"1.CRITERIA";#N/A,#N/A,FALSE,"2.IS";#N/A,#N/A,FALSE,"3.BS";#N/A,#N/A,FALSE,"4.PER PL";#N/A,#N/A,FALSE,"5.INVESTMENT";#N/A,#N/A,FALSE,"6.공문";#N/A,#N/A,FALSE,"7.netinvest"}</definedName>
    <definedName name="사원미지급" localSheetId="3" hidden="1">{#N/A,#N/A,FALSE,"1.CRITERIA";#N/A,#N/A,FALSE,"2.IS";#N/A,#N/A,FALSE,"3.BS";#N/A,#N/A,FALSE,"4.PER PL";#N/A,#N/A,FALSE,"5.INVESTMENT";#N/A,#N/A,FALSE,"6.공문";#N/A,#N/A,FALSE,"7.netinvest"}</definedName>
    <definedName name="사원미지급" localSheetId="4" hidden="1">{#N/A,#N/A,FALSE,"1.CRITERIA";#N/A,#N/A,FALSE,"2.IS";#N/A,#N/A,FALSE,"3.BS";#N/A,#N/A,FALSE,"4.PER PL";#N/A,#N/A,FALSE,"5.INVESTMENT";#N/A,#N/A,FALSE,"6.공문";#N/A,#N/A,FALSE,"7.netinvest"}</definedName>
    <definedName name="사원미지급" localSheetId="5" hidden="1">{#N/A,#N/A,FALSE,"1.CRITERIA";#N/A,#N/A,FALSE,"2.IS";#N/A,#N/A,FALSE,"3.BS";#N/A,#N/A,FALSE,"4.PER PL";#N/A,#N/A,FALSE,"5.INVESTMENT";#N/A,#N/A,FALSE,"6.공문";#N/A,#N/A,FALSE,"7.netinvest"}</definedName>
    <definedName name="사원미지급" hidden="1">{#N/A,#N/A,FALSE,"1.CRITERIA";#N/A,#N/A,FALSE,"2.IS";#N/A,#N/A,FALSE,"3.BS";#N/A,#N/A,FALSE,"4.PER PL";#N/A,#N/A,FALSE,"5.INVESTMENT";#N/A,#N/A,FALSE,"6.공문";#N/A,#N/A,FALSE,"7.netinvest"}</definedName>
    <definedName name="사ㅏ사사" localSheetId="1" hidden="1">{#N/A,#N/A,FALSE,"지침";#N/A,#N/A,FALSE,"환경분석";#N/A,#N/A,FALSE,"Sheet16"}</definedName>
    <definedName name="사ㅏ사사" localSheetId="3" hidden="1">{#N/A,#N/A,FALSE,"지침";#N/A,#N/A,FALSE,"환경분석";#N/A,#N/A,FALSE,"Sheet16"}</definedName>
    <definedName name="사ㅏ사사" localSheetId="4" hidden="1">{#N/A,#N/A,FALSE,"지침";#N/A,#N/A,FALSE,"환경분석";#N/A,#N/A,FALSE,"Sheet16"}</definedName>
    <definedName name="사ㅏ사사" localSheetId="5" hidden="1">{#N/A,#N/A,FALSE,"지침";#N/A,#N/A,FALSE,"환경분석";#N/A,#N/A,FALSE,"Sheet16"}</definedName>
    <definedName name="사ㅏ사사" hidden="1">{#N/A,#N/A,FALSE,"지침";#N/A,#N/A,FALSE,"환경분석";#N/A,#N/A,FALSE,"Sheet16"}</definedName>
    <definedName name="새이름" localSheetId="1" hidden="1">{#N/A,#N/A,FALSE,"지침";#N/A,#N/A,FALSE,"환경분석";#N/A,#N/A,FALSE,"Sheet16"}</definedName>
    <definedName name="새이름" localSheetId="3" hidden="1">{#N/A,#N/A,FALSE,"지침";#N/A,#N/A,FALSE,"환경분석";#N/A,#N/A,FALSE,"Sheet16"}</definedName>
    <definedName name="새이름" localSheetId="4" hidden="1">{#N/A,#N/A,FALSE,"지침";#N/A,#N/A,FALSE,"환경분석";#N/A,#N/A,FALSE,"Sheet16"}</definedName>
    <definedName name="새이름" localSheetId="5" hidden="1">{#N/A,#N/A,FALSE,"지침";#N/A,#N/A,FALSE,"환경분석";#N/A,#N/A,FALSE,"Sheet16"}</definedName>
    <definedName name="새이름" hidden="1">{#N/A,#N/A,FALSE,"지침";#N/A,#N/A,FALSE,"환경분석";#N/A,#N/A,FALSE,"Sheet16"}</definedName>
    <definedName name="서이" localSheetId="1" hidden="1">{#N/A,#N/A,FALSE,"1.CRITERIA";#N/A,#N/A,FALSE,"2.IS";#N/A,#N/A,FALSE,"3.BS";#N/A,#N/A,FALSE,"4.PER PL";#N/A,#N/A,FALSE,"5.INVESTMENT";#N/A,#N/A,FALSE,"6.공문";#N/A,#N/A,FALSE,"7.netinvest"}</definedName>
    <definedName name="서이" localSheetId="3" hidden="1">{#N/A,#N/A,FALSE,"1.CRITERIA";#N/A,#N/A,FALSE,"2.IS";#N/A,#N/A,FALSE,"3.BS";#N/A,#N/A,FALSE,"4.PER PL";#N/A,#N/A,FALSE,"5.INVESTMENT";#N/A,#N/A,FALSE,"6.공문";#N/A,#N/A,FALSE,"7.netinvest"}</definedName>
    <definedName name="서이" localSheetId="4" hidden="1">{#N/A,#N/A,FALSE,"1.CRITERIA";#N/A,#N/A,FALSE,"2.IS";#N/A,#N/A,FALSE,"3.BS";#N/A,#N/A,FALSE,"4.PER PL";#N/A,#N/A,FALSE,"5.INVESTMENT";#N/A,#N/A,FALSE,"6.공문";#N/A,#N/A,FALSE,"7.netinvest"}</definedName>
    <definedName name="서이" localSheetId="5" hidden="1">{#N/A,#N/A,FALSE,"1.CRITERIA";#N/A,#N/A,FALSE,"2.IS";#N/A,#N/A,FALSE,"3.BS";#N/A,#N/A,FALSE,"4.PER PL";#N/A,#N/A,FALSE,"5.INVESTMENT";#N/A,#N/A,FALSE,"6.공문";#N/A,#N/A,FALSE,"7.netinvest"}</definedName>
    <definedName name="서이" hidden="1">{#N/A,#N/A,FALSE,"1.CRITERIA";#N/A,#N/A,FALSE,"2.IS";#N/A,#N/A,FALSE,"3.BS";#N/A,#N/A,FALSE,"4.PER PL";#N/A,#N/A,FALSE,"5.INVESTMENT";#N/A,#N/A,FALSE,"6.공문";#N/A,#N/A,FALSE,"7.netinvest"}</definedName>
    <definedName name="선급금" localSheetId="1" hidden="1">{#N/A,#N/A,FALSE,"1.CRITERIA";#N/A,#N/A,FALSE,"2.IS";#N/A,#N/A,FALSE,"3.BS";#N/A,#N/A,FALSE,"4.PER PL";#N/A,#N/A,FALSE,"5.INVESTMENT";#N/A,#N/A,FALSE,"6.공문";#N/A,#N/A,FALSE,"7.netinvest"}</definedName>
    <definedName name="선급금" localSheetId="3" hidden="1">{#N/A,#N/A,FALSE,"1.CRITERIA";#N/A,#N/A,FALSE,"2.IS";#N/A,#N/A,FALSE,"3.BS";#N/A,#N/A,FALSE,"4.PER PL";#N/A,#N/A,FALSE,"5.INVESTMENT";#N/A,#N/A,FALSE,"6.공문";#N/A,#N/A,FALSE,"7.netinvest"}</definedName>
    <definedName name="선급금" localSheetId="4" hidden="1">{#N/A,#N/A,FALSE,"1.CRITERIA";#N/A,#N/A,FALSE,"2.IS";#N/A,#N/A,FALSE,"3.BS";#N/A,#N/A,FALSE,"4.PER PL";#N/A,#N/A,FALSE,"5.INVESTMENT";#N/A,#N/A,FALSE,"6.공문";#N/A,#N/A,FALSE,"7.netinvest"}</definedName>
    <definedName name="선급금" localSheetId="5" hidden="1">{#N/A,#N/A,FALSE,"1.CRITERIA";#N/A,#N/A,FALSE,"2.IS";#N/A,#N/A,FALSE,"3.BS";#N/A,#N/A,FALSE,"4.PER PL";#N/A,#N/A,FALSE,"5.INVESTMENT";#N/A,#N/A,FALSE,"6.공문";#N/A,#N/A,FALSE,"7.netinvest"}</definedName>
    <definedName name="선급금" hidden="1">{#N/A,#N/A,FALSE,"1.CRITERIA";#N/A,#N/A,FALSE,"2.IS";#N/A,#N/A,FALSE,"3.BS";#N/A,#N/A,FALSE,"4.PER PL";#N/A,#N/A,FALSE,"5.INVESTMENT";#N/A,#N/A,FALSE,"6.공문";#N/A,#N/A,FALSE,"7.netinvest"}</definedName>
    <definedName name="손실" localSheetId="1" hidden="1">{#N/A,#N/A,FALSE,"1.CRITERIA";#N/A,#N/A,FALSE,"2.IS";#N/A,#N/A,FALSE,"3.BS";#N/A,#N/A,FALSE,"4.PER PL";#N/A,#N/A,FALSE,"5.INVESTMENT";#N/A,#N/A,FALSE,"6.공문";#N/A,#N/A,FALSE,"7.netinvest"}</definedName>
    <definedName name="손실" localSheetId="3" hidden="1">{#N/A,#N/A,FALSE,"1.CRITERIA";#N/A,#N/A,FALSE,"2.IS";#N/A,#N/A,FALSE,"3.BS";#N/A,#N/A,FALSE,"4.PER PL";#N/A,#N/A,FALSE,"5.INVESTMENT";#N/A,#N/A,FALSE,"6.공문";#N/A,#N/A,FALSE,"7.netinvest"}</definedName>
    <definedName name="손실" localSheetId="4" hidden="1">{#N/A,#N/A,FALSE,"1.CRITERIA";#N/A,#N/A,FALSE,"2.IS";#N/A,#N/A,FALSE,"3.BS";#N/A,#N/A,FALSE,"4.PER PL";#N/A,#N/A,FALSE,"5.INVESTMENT";#N/A,#N/A,FALSE,"6.공문";#N/A,#N/A,FALSE,"7.netinvest"}</definedName>
    <definedName name="손실" localSheetId="5" hidden="1">{#N/A,#N/A,FALSE,"1.CRITERIA";#N/A,#N/A,FALSE,"2.IS";#N/A,#N/A,FALSE,"3.BS";#N/A,#N/A,FALSE,"4.PER PL";#N/A,#N/A,FALSE,"5.INVESTMENT";#N/A,#N/A,FALSE,"6.공문";#N/A,#N/A,FALSE,"7.netinvest"}</definedName>
    <definedName name="손실" hidden="1">{#N/A,#N/A,FALSE,"1.CRITERIA";#N/A,#N/A,FALSE,"2.IS";#N/A,#N/A,FALSE,"3.BS";#N/A,#N/A,FALSE,"4.PER PL";#N/A,#N/A,FALSE,"5.INVESTMENT";#N/A,#N/A,FALSE,"6.공문";#N/A,#N/A,FALSE,"7.netinvest"}</definedName>
    <definedName name="수정2" localSheetId="1" hidden="1">{#N/A,#N/A,FALSE,"지침";#N/A,#N/A,FALSE,"환경분석";#N/A,#N/A,FALSE,"Sheet16"}</definedName>
    <definedName name="수정2" localSheetId="3" hidden="1">{#N/A,#N/A,FALSE,"지침";#N/A,#N/A,FALSE,"환경분석";#N/A,#N/A,FALSE,"Sheet16"}</definedName>
    <definedName name="수정2" localSheetId="4" hidden="1">{#N/A,#N/A,FALSE,"지침";#N/A,#N/A,FALSE,"환경분석";#N/A,#N/A,FALSE,"Sheet16"}</definedName>
    <definedName name="수정2" localSheetId="5" hidden="1">{#N/A,#N/A,FALSE,"지침";#N/A,#N/A,FALSE,"환경분석";#N/A,#N/A,FALSE,"Sheet16"}</definedName>
    <definedName name="수정2" hidden="1">{#N/A,#N/A,FALSE,"지침";#N/A,#N/A,FALSE,"환경분석";#N/A,#N/A,FALSE,"Sheet16"}</definedName>
    <definedName name="수정222" localSheetId="1" hidden="1">{#N/A,#N/A,FALSE,"지침";#N/A,#N/A,FALSE,"환경분석";#N/A,#N/A,FALSE,"Sheet16"}</definedName>
    <definedName name="수정222" localSheetId="3" hidden="1">{#N/A,#N/A,FALSE,"지침";#N/A,#N/A,FALSE,"환경분석";#N/A,#N/A,FALSE,"Sheet16"}</definedName>
    <definedName name="수정222" localSheetId="4" hidden="1">{#N/A,#N/A,FALSE,"지침";#N/A,#N/A,FALSE,"환경분석";#N/A,#N/A,FALSE,"Sheet16"}</definedName>
    <definedName name="수정222" localSheetId="5" hidden="1">{#N/A,#N/A,FALSE,"지침";#N/A,#N/A,FALSE,"환경분석";#N/A,#N/A,FALSE,"Sheet16"}</definedName>
    <definedName name="수정222" hidden="1">{#N/A,#N/A,FALSE,"지침";#N/A,#N/A,FALSE,"환경분석";#N/A,#N/A,FALSE,"Sheet16"}</definedName>
    <definedName name="ㅇㅇㅇㅇㅇㅇ" localSheetId="1" hidden="1">{#N/A,#N/A,FALSE,"지침";#N/A,#N/A,FALSE,"환경분석";#N/A,#N/A,FALSE,"Sheet16"}</definedName>
    <definedName name="ㅇㅇㅇㅇㅇㅇ" localSheetId="3" hidden="1">{#N/A,#N/A,FALSE,"지침";#N/A,#N/A,FALSE,"환경분석";#N/A,#N/A,FALSE,"Sheet16"}</definedName>
    <definedName name="ㅇㅇㅇㅇㅇㅇ" localSheetId="4" hidden="1">{#N/A,#N/A,FALSE,"지침";#N/A,#N/A,FALSE,"환경분석";#N/A,#N/A,FALSE,"Sheet16"}</definedName>
    <definedName name="ㅇㅇㅇㅇㅇㅇ" localSheetId="5" hidden="1">{#N/A,#N/A,FALSE,"지침";#N/A,#N/A,FALSE,"환경분석";#N/A,#N/A,FALSE,"Sheet16"}</definedName>
    <definedName name="ㅇㅇㅇㅇㅇㅇ" hidden="1">{#N/A,#N/A,FALSE,"지침";#N/A,#N/A,FALSE,"환경분석";#N/A,#N/A,FALSE,"Sheet16"}</definedName>
    <definedName name="ㅇㅎㅁㄶㅇㅀㅇ논오노" localSheetId="1" hidden="1">{#N/A,#N/A,FALSE,"지침";#N/A,#N/A,FALSE,"환경분석";#N/A,#N/A,FALSE,"Sheet16"}</definedName>
    <definedName name="ㅇㅎㅁㄶㅇㅀㅇ논오노" localSheetId="3" hidden="1">{#N/A,#N/A,FALSE,"지침";#N/A,#N/A,FALSE,"환경분석";#N/A,#N/A,FALSE,"Sheet16"}</definedName>
    <definedName name="ㅇㅎㅁㄶㅇㅀㅇ논오노" localSheetId="4" hidden="1">{#N/A,#N/A,FALSE,"지침";#N/A,#N/A,FALSE,"환경분석";#N/A,#N/A,FALSE,"Sheet16"}</definedName>
    <definedName name="ㅇㅎㅁㄶㅇㅀㅇ논오노" localSheetId="5" hidden="1">{#N/A,#N/A,FALSE,"지침";#N/A,#N/A,FALSE,"환경분석";#N/A,#N/A,FALSE,"Sheet16"}</definedName>
    <definedName name="ㅇㅎㅁㄶㅇㅀㅇ논오노" hidden="1">{#N/A,#N/A,FALSE,"지침";#N/A,#N/A,FALSE,"환경분석";#N/A,#N/A,FALSE,"Sheet16"}</definedName>
    <definedName name="아" localSheetId="1" hidden="1">{#N/A,#N/A,FALSE,"1.CRITERIA";#N/A,#N/A,FALSE,"2.IS";#N/A,#N/A,FALSE,"3.BS";#N/A,#N/A,FALSE,"4.PER PL";#N/A,#N/A,FALSE,"5.INVESTMENT";#N/A,#N/A,FALSE,"6.공문";#N/A,#N/A,FALSE,"7.netinvest"}</definedName>
    <definedName name="아" localSheetId="3" hidden="1">{#N/A,#N/A,FALSE,"1.CRITERIA";#N/A,#N/A,FALSE,"2.IS";#N/A,#N/A,FALSE,"3.BS";#N/A,#N/A,FALSE,"4.PER PL";#N/A,#N/A,FALSE,"5.INVESTMENT";#N/A,#N/A,FALSE,"6.공문";#N/A,#N/A,FALSE,"7.netinvest"}</definedName>
    <definedName name="아" localSheetId="4" hidden="1">{#N/A,#N/A,FALSE,"1.CRITERIA";#N/A,#N/A,FALSE,"2.IS";#N/A,#N/A,FALSE,"3.BS";#N/A,#N/A,FALSE,"4.PER PL";#N/A,#N/A,FALSE,"5.INVESTMENT";#N/A,#N/A,FALSE,"6.공문";#N/A,#N/A,FALSE,"7.netinvest"}</definedName>
    <definedName name="아" localSheetId="5" hidden="1">{#N/A,#N/A,FALSE,"1.CRITERIA";#N/A,#N/A,FALSE,"2.IS";#N/A,#N/A,FALSE,"3.BS";#N/A,#N/A,FALSE,"4.PER PL";#N/A,#N/A,FALSE,"5.INVESTMENT";#N/A,#N/A,FALSE,"6.공문";#N/A,#N/A,FALSE,"7.netinvest"}</definedName>
    <definedName name="아" hidden="1">{#N/A,#N/A,FALSE,"1.CRITERIA";#N/A,#N/A,FALSE,"2.IS";#N/A,#N/A,FALSE,"3.BS";#N/A,#N/A,FALSE,"4.PER PL";#N/A,#N/A,FALSE,"5.INVESTMENT";#N/A,#N/A,FALSE,"6.공문";#N/A,#N/A,FALSE,"7.netinvest"}</definedName>
    <definedName name="아아" localSheetId="1" hidden="1">{#N/A,#N/A,FALSE,"1.CRITERIA";#N/A,#N/A,FALSE,"2.IS";#N/A,#N/A,FALSE,"3.BS";#N/A,#N/A,FALSE,"4.PER PL";#N/A,#N/A,FALSE,"5.INVESTMENT";#N/A,#N/A,FALSE,"6.공문";#N/A,#N/A,FALSE,"7.netinvest"}</definedName>
    <definedName name="아아" localSheetId="3" hidden="1">{#N/A,#N/A,FALSE,"1.CRITERIA";#N/A,#N/A,FALSE,"2.IS";#N/A,#N/A,FALSE,"3.BS";#N/A,#N/A,FALSE,"4.PER PL";#N/A,#N/A,FALSE,"5.INVESTMENT";#N/A,#N/A,FALSE,"6.공문";#N/A,#N/A,FALSE,"7.netinvest"}</definedName>
    <definedName name="아아" localSheetId="4" hidden="1">{#N/A,#N/A,FALSE,"1.CRITERIA";#N/A,#N/A,FALSE,"2.IS";#N/A,#N/A,FALSE,"3.BS";#N/A,#N/A,FALSE,"4.PER PL";#N/A,#N/A,FALSE,"5.INVESTMENT";#N/A,#N/A,FALSE,"6.공문";#N/A,#N/A,FALSE,"7.netinvest"}</definedName>
    <definedName name="아아" localSheetId="5" hidden="1">{#N/A,#N/A,FALSE,"1.CRITERIA";#N/A,#N/A,FALSE,"2.IS";#N/A,#N/A,FALSE,"3.BS";#N/A,#N/A,FALSE,"4.PER PL";#N/A,#N/A,FALSE,"5.INVESTMENT";#N/A,#N/A,FALSE,"6.공문";#N/A,#N/A,FALSE,"7.netinvest"}</definedName>
    <definedName name="아아" hidden="1">{#N/A,#N/A,FALSE,"1.CRITERIA";#N/A,#N/A,FALSE,"2.IS";#N/A,#N/A,FALSE,"3.BS";#N/A,#N/A,FALSE,"4.PER PL";#N/A,#N/A,FALSE,"5.INVESTMENT";#N/A,#N/A,FALSE,"6.공문";#N/A,#N/A,FALSE,"7.netinvest"}</definedName>
    <definedName name="아아아" localSheetId="1" hidden="1">{#N/A,#N/A,FALSE,"1.CRITERIA";#N/A,#N/A,FALSE,"2.IS";#N/A,#N/A,FALSE,"3.BS";#N/A,#N/A,FALSE,"4.PER PL";#N/A,#N/A,FALSE,"5.INVESTMENT";#N/A,#N/A,FALSE,"6.공문";#N/A,#N/A,FALSE,"7.netinvest"}</definedName>
    <definedName name="아아아" localSheetId="3" hidden="1">{#N/A,#N/A,FALSE,"1.CRITERIA";#N/A,#N/A,FALSE,"2.IS";#N/A,#N/A,FALSE,"3.BS";#N/A,#N/A,FALSE,"4.PER PL";#N/A,#N/A,FALSE,"5.INVESTMENT";#N/A,#N/A,FALSE,"6.공문";#N/A,#N/A,FALSE,"7.netinvest"}</definedName>
    <definedName name="아아아" localSheetId="4" hidden="1">{#N/A,#N/A,FALSE,"1.CRITERIA";#N/A,#N/A,FALSE,"2.IS";#N/A,#N/A,FALSE,"3.BS";#N/A,#N/A,FALSE,"4.PER PL";#N/A,#N/A,FALSE,"5.INVESTMENT";#N/A,#N/A,FALSE,"6.공문";#N/A,#N/A,FALSE,"7.netinvest"}</definedName>
    <definedName name="아아아" localSheetId="5" hidden="1">{#N/A,#N/A,FALSE,"1.CRITERIA";#N/A,#N/A,FALSE,"2.IS";#N/A,#N/A,FALSE,"3.BS";#N/A,#N/A,FALSE,"4.PER PL";#N/A,#N/A,FALSE,"5.INVESTMENT";#N/A,#N/A,FALSE,"6.공문";#N/A,#N/A,FALSE,"7.netinvest"}</definedName>
    <definedName name="아아아" hidden="1">{#N/A,#N/A,FALSE,"1.CRITERIA";#N/A,#N/A,FALSE,"2.IS";#N/A,#N/A,FALSE,"3.BS";#N/A,#N/A,FALSE,"4.PER PL";#N/A,#N/A,FALSE,"5.INVESTMENT";#N/A,#N/A,FALSE,"6.공문";#N/A,#N/A,FALSE,"7.netinvest"}</definedName>
    <definedName name="아이" localSheetId="1" hidden="1">{#N/A,#N/A,FALSE,"1.CRITERIA";#N/A,#N/A,FALSE,"2.IS";#N/A,#N/A,FALSE,"3.BS";#N/A,#N/A,FALSE,"4.PER PL";#N/A,#N/A,FALSE,"5.INVESTMENT";#N/A,#N/A,FALSE,"6.공문";#N/A,#N/A,FALSE,"7.netinvest"}</definedName>
    <definedName name="아이" localSheetId="3" hidden="1">{#N/A,#N/A,FALSE,"1.CRITERIA";#N/A,#N/A,FALSE,"2.IS";#N/A,#N/A,FALSE,"3.BS";#N/A,#N/A,FALSE,"4.PER PL";#N/A,#N/A,FALSE,"5.INVESTMENT";#N/A,#N/A,FALSE,"6.공문";#N/A,#N/A,FALSE,"7.netinvest"}</definedName>
    <definedName name="아이" localSheetId="4" hidden="1">{#N/A,#N/A,FALSE,"1.CRITERIA";#N/A,#N/A,FALSE,"2.IS";#N/A,#N/A,FALSE,"3.BS";#N/A,#N/A,FALSE,"4.PER PL";#N/A,#N/A,FALSE,"5.INVESTMENT";#N/A,#N/A,FALSE,"6.공문";#N/A,#N/A,FALSE,"7.netinvest"}</definedName>
    <definedName name="아이" localSheetId="5" hidden="1">{#N/A,#N/A,FALSE,"1.CRITERIA";#N/A,#N/A,FALSE,"2.IS";#N/A,#N/A,FALSE,"3.BS";#N/A,#N/A,FALSE,"4.PER PL";#N/A,#N/A,FALSE,"5.INVESTMENT";#N/A,#N/A,FALSE,"6.공문";#N/A,#N/A,FALSE,"7.netinvest"}</definedName>
    <definedName name="아이" hidden="1">{#N/A,#N/A,FALSE,"1.CRITERIA";#N/A,#N/A,FALSE,"2.IS";#N/A,#N/A,FALSE,"3.BS";#N/A,#N/A,FALSE,"4.PER PL";#N/A,#N/A,FALSE,"5.INVESTMENT";#N/A,#N/A,FALSE,"6.공문";#N/A,#N/A,FALSE,"7.netinvest"}</definedName>
    <definedName name="아ㅓ어어롣ㄷ" localSheetId="1" hidden="1">{#N/A,#N/A,FALSE,"지침";#N/A,#N/A,FALSE,"환경분석";#N/A,#N/A,FALSE,"Sheet16"}</definedName>
    <definedName name="아ㅓ어어롣ㄷ" localSheetId="3" hidden="1">{#N/A,#N/A,FALSE,"지침";#N/A,#N/A,FALSE,"환경분석";#N/A,#N/A,FALSE,"Sheet16"}</definedName>
    <definedName name="아ㅓ어어롣ㄷ" localSheetId="4" hidden="1">{#N/A,#N/A,FALSE,"지침";#N/A,#N/A,FALSE,"환경분석";#N/A,#N/A,FALSE,"Sheet16"}</definedName>
    <definedName name="아ㅓ어어롣ㄷ" localSheetId="5" hidden="1">{#N/A,#N/A,FALSE,"지침";#N/A,#N/A,FALSE,"환경분석";#N/A,#N/A,FALSE,"Sheet16"}</definedName>
    <definedName name="아ㅓ어어롣ㄷ" hidden="1">{#N/A,#N/A,FALSE,"지침";#N/A,#N/A,FALSE,"환경분석";#N/A,#N/A,FALSE,"Sheet16"}</definedName>
    <definedName name="어란어아ㅣ덛ㅈㄱㅈㄱㄷㄱㄷ지" localSheetId="1" hidden="1">{#N/A,#N/A,FALSE,"지침";#N/A,#N/A,FALSE,"환경분석";#N/A,#N/A,FALSE,"Sheet16"}</definedName>
    <definedName name="어란어아ㅣ덛ㅈㄱㅈㄱㄷㄱㄷ지" localSheetId="3" hidden="1">{#N/A,#N/A,FALSE,"지침";#N/A,#N/A,FALSE,"환경분석";#N/A,#N/A,FALSE,"Sheet16"}</definedName>
    <definedName name="어란어아ㅣ덛ㅈㄱㅈㄱㄷㄱㄷ지" localSheetId="4" hidden="1">{#N/A,#N/A,FALSE,"지침";#N/A,#N/A,FALSE,"환경분석";#N/A,#N/A,FALSE,"Sheet16"}</definedName>
    <definedName name="어란어아ㅣ덛ㅈㄱㅈㄱㄷㄱㄷ지" localSheetId="5" hidden="1">{#N/A,#N/A,FALSE,"지침";#N/A,#N/A,FALSE,"환경분석";#N/A,#N/A,FALSE,"Sheet16"}</definedName>
    <definedName name="어란어아ㅣ덛ㅈㄱㅈㄱㄷㄱㄷ지" hidden="1">{#N/A,#N/A,FALSE,"지침";#N/A,#N/A,FALSE,"환경분석";#N/A,#N/A,FALSE,"Sheet16"}</definedName>
    <definedName name="어어" localSheetId="1" hidden="1">{#N/A,#N/A,FALSE,"1.CRITERIA";#N/A,#N/A,FALSE,"2.IS";#N/A,#N/A,FALSE,"3.BS";#N/A,#N/A,FALSE,"4.PER PL";#N/A,#N/A,FALSE,"5.INVESTMENT";#N/A,#N/A,FALSE,"6.공문";#N/A,#N/A,FALSE,"7.netinvest"}</definedName>
    <definedName name="어어" localSheetId="3" hidden="1">{#N/A,#N/A,FALSE,"1.CRITERIA";#N/A,#N/A,FALSE,"2.IS";#N/A,#N/A,FALSE,"3.BS";#N/A,#N/A,FALSE,"4.PER PL";#N/A,#N/A,FALSE,"5.INVESTMENT";#N/A,#N/A,FALSE,"6.공문";#N/A,#N/A,FALSE,"7.netinvest"}</definedName>
    <definedName name="어어" localSheetId="4" hidden="1">{#N/A,#N/A,FALSE,"1.CRITERIA";#N/A,#N/A,FALSE,"2.IS";#N/A,#N/A,FALSE,"3.BS";#N/A,#N/A,FALSE,"4.PER PL";#N/A,#N/A,FALSE,"5.INVESTMENT";#N/A,#N/A,FALSE,"6.공문";#N/A,#N/A,FALSE,"7.netinvest"}</definedName>
    <definedName name="어어" localSheetId="5" hidden="1">{#N/A,#N/A,FALSE,"1.CRITERIA";#N/A,#N/A,FALSE,"2.IS";#N/A,#N/A,FALSE,"3.BS";#N/A,#N/A,FALSE,"4.PER PL";#N/A,#N/A,FALSE,"5.INVESTMENT";#N/A,#N/A,FALSE,"6.공문";#N/A,#N/A,FALSE,"7.netinvest"}</definedName>
    <definedName name="어어" hidden="1">{#N/A,#N/A,FALSE,"1.CRITERIA";#N/A,#N/A,FALSE,"2.IS";#N/A,#N/A,FALSE,"3.BS";#N/A,#N/A,FALSE,"4.PER PL";#N/A,#N/A,FALSE,"5.INVESTMENT";#N/A,#N/A,FALSE,"6.공문";#N/A,#N/A,FALSE,"7.netinvest"}</definedName>
    <definedName name="여이" localSheetId="1" hidden="1">{#N/A,#N/A,FALSE,"1.CRITERIA";#N/A,#N/A,FALSE,"2.IS";#N/A,#N/A,FALSE,"3.BS";#N/A,#N/A,FALSE,"4.PER PL";#N/A,#N/A,FALSE,"5.INVESTMENT";#N/A,#N/A,FALSE,"6.공문";#N/A,#N/A,FALSE,"7.netinvest"}</definedName>
    <definedName name="여이" localSheetId="3" hidden="1">{#N/A,#N/A,FALSE,"1.CRITERIA";#N/A,#N/A,FALSE,"2.IS";#N/A,#N/A,FALSE,"3.BS";#N/A,#N/A,FALSE,"4.PER PL";#N/A,#N/A,FALSE,"5.INVESTMENT";#N/A,#N/A,FALSE,"6.공문";#N/A,#N/A,FALSE,"7.netinvest"}</definedName>
    <definedName name="여이" localSheetId="4" hidden="1">{#N/A,#N/A,FALSE,"1.CRITERIA";#N/A,#N/A,FALSE,"2.IS";#N/A,#N/A,FALSE,"3.BS";#N/A,#N/A,FALSE,"4.PER PL";#N/A,#N/A,FALSE,"5.INVESTMENT";#N/A,#N/A,FALSE,"6.공문";#N/A,#N/A,FALSE,"7.netinvest"}</definedName>
    <definedName name="여이" localSheetId="5" hidden="1">{#N/A,#N/A,FALSE,"1.CRITERIA";#N/A,#N/A,FALSE,"2.IS";#N/A,#N/A,FALSE,"3.BS";#N/A,#N/A,FALSE,"4.PER PL";#N/A,#N/A,FALSE,"5.INVESTMENT";#N/A,#N/A,FALSE,"6.공문";#N/A,#N/A,FALSE,"7.netinvest"}</definedName>
    <definedName name="여이" hidden="1">{#N/A,#N/A,FALSE,"1.CRITERIA";#N/A,#N/A,FALSE,"2.IS";#N/A,#N/A,FALSE,"3.BS";#N/A,#N/A,FALSE,"4.PER PL";#N/A,#N/A,FALSE,"5.INVESTMENT";#N/A,#N/A,FALSE,"6.공문";#N/A,#N/A,FALSE,"7.netinvest"}</definedName>
    <definedName name="영" localSheetId="1" hidden="1">{#N/A,#N/A,FALSE,"1.CRITERIA";#N/A,#N/A,FALSE,"2.IS";#N/A,#N/A,FALSE,"3.BS";#N/A,#N/A,FALSE,"4.PER PL";#N/A,#N/A,FALSE,"5.INVESTMENT";#N/A,#N/A,FALSE,"6.공문";#N/A,#N/A,FALSE,"7.netinvest"}</definedName>
    <definedName name="영" localSheetId="3" hidden="1">{#N/A,#N/A,FALSE,"1.CRITERIA";#N/A,#N/A,FALSE,"2.IS";#N/A,#N/A,FALSE,"3.BS";#N/A,#N/A,FALSE,"4.PER PL";#N/A,#N/A,FALSE,"5.INVESTMENT";#N/A,#N/A,FALSE,"6.공문";#N/A,#N/A,FALSE,"7.netinvest"}</definedName>
    <definedName name="영" localSheetId="4" hidden="1">{#N/A,#N/A,FALSE,"1.CRITERIA";#N/A,#N/A,FALSE,"2.IS";#N/A,#N/A,FALSE,"3.BS";#N/A,#N/A,FALSE,"4.PER PL";#N/A,#N/A,FALSE,"5.INVESTMENT";#N/A,#N/A,FALSE,"6.공문";#N/A,#N/A,FALSE,"7.netinvest"}</definedName>
    <definedName name="영" localSheetId="5" hidden="1">{#N/A,#N/A,FALSE,"1.CRITERIA";#N/A,#N/A,FALSE,"2.IS";#N/A,#N/A,FALSE,"3.BS";#N/A,#N/A,FALSE,"4.PER PL";#N/A,#N/A,FALSE,"5.INVESTMENT";#N/A,#N/A,FALSE,"6.공문";#N/A,#N/A,FALSE,"7.netinvest"}</definedName>
    <definedName name="영" hidden="1">{#N/A,#N/A,FALSE,"1.CRITERIA";#N/A,#N/A,FALSE,"2.IS";#N/A,#N/A,FALSE,"3.BS";#N/A,#N/A,FALSE,"4.PER PL";#N/A,#N/A,FALSE,"5.INVESTMENT";#N/A,#N/A,FALSE,"6.공문";#N/A,#N/A,FALSE,"7.netinvest"}</definedName>
    <definedName name="영업" localSheetId="1" hidden="1">{#N/A,#N/A,FALSE,"1.CRITERIA";#N/A,#N/A,FALSE,"2.IS";#N/A,#N/A,FALSE,"3.BS";#N/A,#N/A,FALSE,"4.PER PL";#N/A,#N/A,FALSE,"5.INVESTMENT";#N/A,#N/A,FALSE,"6.공문";#N/A,#N/A,FALSE,"7.netinvest"}</definedName>
    <definedName name="영업" localSheetId="3" hidden="1">{#N/A,#N/A,FALSE,"1.CRITERIA";#N/A,#N/A,FALSE,"2.IS";#N/A,#N/A,FALSE,"3.BS";#N/A,#N/A,FALSE,"4.PER PL";#N/A,#N/A,FALSE,"5.INVESTMENT";#N/A,#N/A,FALSE,"6.공문";#N/A,#N/A,FALSE,"7.netinvest"}</definedName>
    <definedName name="영업" localSheetId="4" hidden="1">{#N/A,#N/A,FALSE,"1.CRITERIA";#N/A,#N/A,FALSE,"2.IS";#N/A,#N/A,FALSE,"3.BS";#N/A,#N/A,FALSE,"4.PER PL";#N/A,#N/A,FALSE,"5.INVESTMENT";#N/A,#N/A,FALSE,"6.공문";#N/A,#N/A,FALSE,"7.netinvest"}</definedName>
    <definedName name="영업" localSheetId="5" hidden="1">{#N/A,#N/A,FALSE,"1.CRITERIA";#N/A,#N/A,FALSE,"2.IS";#N/A,#N/A,FALSE,"3.BS";#N/A,#N/A,FALSE,"4.PER PL";#N/A,#N/A,FALSE,"5.INVESTMENT";#N/A,#N/A,FALSE,"6.공문";#N/A,#N/A,FALSE,"7.netinvest"}</definedName>
    <definedName name="영업" hidden="1">{#N/A,#N/A,FALSE,"1.CRITERIA";#N/A,#N/A,FALSE,"2.IS";#N/A,#N/A,FALSE,"3.BS";#N/A,#N/A,FALSE,"4.PER PL";#N/A,#N/A,FALSE,"5.INVESTMENT";#N/A,#N/A,FALSE,"6.공문";#N/A,#N/A,FALSE,"7.netinvest"}</definedName>
    <definedName name="영업수" localSheetId="1" hidden="1">{#N/A,#N/A,FALSE,"1.CRITERIA";#N/A,#N/A,FALSE,"2.IS";#N/A,#N/A,FALSE,"3.BS";#N/A,#N/A,FALSE,"4.PER PL";#N/A,#N/A,FALSE,"5.INVESTMENT";#N/A,#N/A,FALSE,"6.공문";#N/A,#N/A,FALSE,"7.netinvest"}</definedName>
    <definedName name="영업수" localSheetId="3" hidden="1">{#N/A,#N/A,FALSE,"1.CRITERIA";#N/A,#N/A,FALSE,"2.IS";#N/A,#N/A,FALSE,"3.BS";#N/A,#N/A,FALSE,"4.PER PL";#N/A,#N/A,FALSE,"5.INVESTMENT";#N/A,#N/A,FALSE,"6.공문";#N/A,#N/A,FALSE,"7.netinvest"}</definedName>
    <definedName name="영업수" localSheetId="4" hidden="1">{#N/A,#N/A,FALSE,"1.CRITERIA";#N/A,#N/A,FALSE,"2.IS";#N/A,#N/A,FALSE,"3.BS";#N/A,#N/A,FALSE,"4.PER PL";#N/A,#N/A,FALSE,"5.INVESTMENT";#N/A,#N/A,FALSE,"6.공문";#N/A,#N/A,FALSE,"7.netinvest"}</definedName>
    <definedName name="영업수" localSheetId="5" hidden="1">{#N/A,#N/A,FALSE,"1.CRITERIA";#N/A,#N/A,FALSE,"2.IS";#N/A,#N/A,FALSE,"3.BS";#N/A,#N/A,FALSE,"4.PER PL";#N/A,#N/A,FALSE,"5.INVESTMENT";#N/A,#N/A,FALSE,"6.공문";#N/A,#N/A,FALSE,"7.netinvest"}</definedName>
    <definedName name="영업수" hidden="1">{#N/A,#N/A,FALSE,"1.CRITERIA";#N/A,#N/A,FALSE,"2.IS";#N/A,#N/A,FALSE,"3.BS";#N/A,#N/A,FALSE,"4.PER PL";#N/A,#N/A,FALSE,"5.INVESTMENT";#N/A,#N/A,FALSE,"6.공문";#N/A,#N/A,FALSE,"7.netinvest"}</definedName>
    <definedName name="영업수익" localSheetId="1" hidden="1">{#N/A,#N/A,FALSE,"1.CRITERIA";#N/A,#N/A,FALSE,"2.IS";#N/A,#N/A,FALSE,"3.BS";#N/A,#N/A,FALSE,"4.PER PL";#N/A,#N/A,FALSE,"5.INVESTMENT";#N/A,#N/A,FALSE,"6.공문";#N/A,#N/A,FALSE,"7.netinvest"}</definedName>
    <definedName name="영업수익" localSheetId="3" hidden="1">{#N/A,#N/A,FALSE,"1.CRITERIA";#N/A,#N/A,FALSE,"2.IS";#N/A,#N/A,FALSE,"3.BS";#N/A,#N/A,FALSE,"4.PER PL";#N/A,#N/A,FALSE,"5.INVESTMENT";#N/A,#N/A,FALSE,"6.공문";#N/A,#N/A,FALSE,"7.netinvest"}</definedName>
    <definedName name="영업수익" localSheetId="4" hidden="1">{#N/A,#N/A,FALSE,"1.CRITERIA";#N/A,#N/A,FALSE,"2.IS";#N/A,#N/A,FALSE,"3.BS";#N/A,#N/A,FALSE,"4.PER PL";#N/A,#N/A,FALSE,"5.INVESTMENT";#N/A,#N/A,FALSE,"6.공문";#N/A,#N/A,FALSE,"7.netinvest"}</definedName>
    <definedName name="영업수익" localSheetId="5" hidden="1">{#N/A,#N/A,FALSE,"1.CRITERIA";#N/A,#N/A,FALSE,"2.IS";#N/A,#N/A,FALSE,"3.BS";#N/A,#N/A,FALSE,"4.PER PL";#N/A,#N/A,FALSE,"5.INVESTMENT";#N/A,#N/A,FALSE,"6.공문";#N/A,#N/A,FALSE,"7.netinvest"}</definedName>
    <definedName name="영업수익" hidden="1">{#N/A,#N/A,FALSE,"1.CRITERIA";#N/A,#N/A,FALSE,"2.IS";#N/A,#N/A,FALSE,"3.BS";#N/A,#N/A,FALSE,"4.PER PL";#N/A,#N/A,FALSE,"5.INVESTMENT";#N/A,#N/A,FALSE,"6.공문";#N/A,#N/A,FALSE,"7.netinvest"}</definedName>
    <definedName name="영업외수익" localSheetId="1" hidden="1">{#N/A,#N/A,FALSE,"1.CRITERIA";#N/A,#N/A,FALSE,"2.IS";#N/A,#N/A,FALSE,"3.BS";#N/A,#N/A,FALSE,"4.PER PL";#N/A,#N/A,FALSE,"5.INVESTMENT";#N/A,#N/A,FALSE,"6.공문";#N/A,#N/A,FALSE,"7.netinvest"}</definedName>
    <definedName name="영업외수익" localSheetId="3" hidden="1">{#N/A,#N/A,FALSE,"1.CRITERIA";#N/A,#N/A,FALSE,"2.IS";#N/A,#N/A,FALSE,"3.BS";#N/A,#N/A,FALSE,"4.PER PL";#N/A,#N/A,FALSE,"5.INVESTMENT";#N/A,#N/A,FALSE,"6.공문";#N/A,#N/A,FALSE,"7.netinvest"}</definedName>
    <definedName name="영업외수익" localSheetId="4" hidden="1">{#N/A,#N/A,FALSE,"1.CRITERIA";#N/A,#N/A,FALSE,"2.IS";#N/A,#N/A,FALSE,"3.BS";#N/A,#N/A,FALSE,"4.PER PL";#N/A,#N/A,FALSE,"5.INVESTMENT";#N/A,#N/A,FALSE,"6.공문";#N/A,#N/A,FALSE,"7.netinvest"}</definedName>
    <definedName name="영업외수익" localSheetId="5" hidden="1">{#N/A,#N/A,FALSE,"1.CRITERIA";#N/A,#N/A,FALSE,"2.IS";#N/A,#N/A,FALSE,"3.BS";#N/A,#N/A,FALSE,"4.PER PL";#N/A,#N/A,FALSE,"5.INVESTMENT";#N/A,#N/A,FALSE,"6.공문";#N/A,#N/A,FALSE,"7.netinvest"}</definedName>
    <definedName name="영업외수익" hidden="1">{#N/A,#N/A,FALSE,"1.CRITERIA";#N/A,#N/A,FALSE,"2.IS";#N/A,#N/A,FALSE,"3.BS";#N/A,#N/A,FALSE,"4.PER PL";#N/A,#N/A,FALSE,"5.INVESTMENT";#N/A,#N/A,FALSE,"6.공문";#N/A,#N/A,FALSE,"7.netinvest"}</definedName>
    <definedName name="예금" localSheetId="1" hidden="1">{#N/A,#N/A,FALSE,"1.CRITERIA";#N/A,#N/A,FALSE,"2.IS";#N/A,#N/A,FALSE,"3.BS";#N/A,#N/A,FALSE,"4.PER PL";#N/A,#N/A,FALSE,"5.INVESTMENT";#N/A,#N/A,FALSE,"6.공문";#N/A,#N/A,FALSE,"7.netinvest"}</definedName>
    <definedName name="예금" localSheetId="3" hidden="1">{#N/A,#N/A,FALSE,"1.CRITERIA";#N/A,#N/A,FALSE,"2.IS";#N/A,#N/A,FALSE,"3.BS";#N/A,#N/A,FALSE,"4.PER PL";#N/A,#N/A,FALSE,"5.INVESTMENT";#N/A,#N/A,FALSE,"6.공문";#N/A,#N/A,FALSE,"7.netinvest"}</definedName>
    <definedName name="예금" localSheetId="4" hidden="1">{#N/A,#N/A,FALSE,"1.CRITERIA";#N/A,#N/A,FALSE,"2.IS";#N/A,#N/A,FALSE,"3.BS";#N/A,#N/A,FALSE,"4.PER PL";#N/A,#N/A,FALSE,"5.INVESTMENT";#N/A,#N/A,FALSE,"6.공문";#N/A,#N/A,FALSE,"7.netinvest"}</definedName>
    <definedName name="예금" localSheetId="5" hidden="1">{#N/A,#N/A,FALSE,"1.CRITERIA";#N/A,#N/A,FALSE,"2.IS";#N/A,#N/A,FALSE,"3.BS";#N/A,#N/A,FALSE,"4.PER PL";#N/A,#N/A,FALSE,"5.INVESTMENT";#N/A,#N/A,FALSE,"6.공문";#N/A,#N/A,FALSE,"7.netinvest"}</definedName>
    <definedName name="예금" hidden="1">{#N/A,#N/A,FALSE,"1.CRITERIA";#N/A,#N/A,FALSE,"2.IS";#N/A,#N/A,FALSE,"3.BS";#N/A,#N/A,FALSE,"4.PER PL";#N/A,#N/A,FALSE,"5.INVESTMENT";#N/A,#N/A,FALSE,"6.공문";#N/A,#N/A,FALSE,"7.netinvest"}</definedName>
    <definedName name="와인한글표기" localSheetId="1" hidden="1">{#N/A,#N/A,FALSE,"지침";#N/A,#N/A,FALSE,"환경분석";#N/A,#N/A,FALSE,"Sheet16"}</definedName>
    <definedName name="와인한글표기" localSheetId="3" hidden="1">{#N/A,#N/A,FALSE,"지침";#N/A,#N/A,FALSE,"환경분석";#N/A,#N/A,FALSE,"Sheet16"}</definedName>
    <definedName name="와인한글표기" localSheetId="4" hidden="1">{#N/A,#N/A,FALSE,"지침";#N/A,#N/A,FALSE,"환경분석";#N/A,#N/A,FALSE,"Sheet16"}</definedName>
    <definedName name="와인한글표기" localSheetId="5" hidden="1">{#N/A,#N/A,FALSE,"지침";#N/A,#N/A,FALSE,"환경분석";#N/A,#N/A,FALSE,"Sheet16"}</definedName>
    <definedName name="와인한글표기" hidden="1">{#N/A,#N/A,FALSE,"지침";#N/A,#N/A,FALSE,"환경분석";#N/A,#N/A,FALSE,"Sheet16"}</definedName>
    <definedName name="외예금" localSheetId="1" hidden="1">{#N/A,#N/A,FALSE,"1.CRITERIA";#N/A,#N/A,FALSE,"2.IS";#N/A,#N/A,FALSE,"3.BS";#N/A,#N/A,FALSE,"4.PER PL";#N/A,#N/A,FALSE,"5.INVESTMENT";#N/A,#N/A,FALSE,"6.공문";#N/A,#N/A,FALSE,"7.netinvest"}</definedName>
    <definedName name="외예금" localSheetId="3" hidden="1">{#N/A,#N/A,FALSE,"1.CRITERIA";#N/A,#N/A,FALSE,"2.IS";#N/A,#N/A,FALSE,"3.BS";#N/A,#N/A,FALSE,"4.PER PL";#N/A,#N/A,FALSE,"5.INVESTMENT";#N/A,#N/A,FALSE,"6.공문";#N/A,#N/A,FALSE,"7.netinvest"}</definedName>
    <definedName name="외예금" localSheetId="4" hidden="1">{#N/A,#N/A,FALSE,"1.CRITERIA";#N/A,#N/A,FALSE,"2.IS";#N/A,#N/A,FALSE,"3.BS";#N/A,#N/A,FALSE,"4.PER PL";#N/A,#N/A,FALSE,"5.INVESTMENT";#N/A,#N/A,FALSE,"6.공문";#N/A,#N/A,FALSE,"7.netinvest"}</definedName>
    <definedName name="외예금" localSheetId="5" hidden="1">{#N/A,#N/A,FALSE,"1.CRITERIA";#N/A,#N/A,FALSE,"2.IS";#N/A,#N/A,FALSE,"3.BS";#N/A,#N/A,FALSE,"4.PER PL";#N/A,#N/A,FALSE,"5.INVESTMENT";#N/A,#N/A,FALSE,"6.공문";#N/A,#N/A,FALSE,"7.netinvest"}</definedName>
    <definedName name="외예금" hidden="1">{#N/A,#N/A,FALSE,"1.CRITERIA";#N/A,#N/A,FALSE,"2.IS";#N/A,#N/A,FALSE,"3.BS";#N/A,#N/A,FALSE,"4.PER PL";#N/A,#N/A,FALSE,"5.INVESTMENT";#N/A,#N/A,FALSE,"6.공문";#N/A,#N/A,FALSE,"7.netinvest"}</definedName>
    <definedName name="월" localSheetId="1" hidden="1">{#N/A,#N/A,FALSE,"1.CRITERIA";#N/A,#N/A,FALSE,"2.IS";#N/A,#N/A,FALSE,"3.BS";#N/A,#N/A,FALSE,"4.PER PL";#N/A,#N/A,FALSE,"5.INVESTMENT";#N/A,#N/A,FALSE,"6.공문";#N/A,#N/A,FALSE,"7.netinvest"}</definedName>
    <definedName name="월" localSheetId="3" hidden="1">{#N/A,#N/A,FALSE,"1.CRITERIA";#N/A,#N/A,FALSE,"2.IS";#N/A,#N/A,FALSE,"3.BS";#N/A,#N/A,FALSE,"4.PER PL";#N/A,#N/A,FALSE,"5.INVESTMENT";#N/A,#N/A,FALSE,"6.공문";#N/A,#N/A,FALSE,"7.netinvest"}</definedName>
    <definedName name="월" localSheetId="4" hidden="1">{#N/A,#N/A,FALSE,"1.CRITERIA";#N/A,#N/A,FALSE,"2.IS";#N/A,#N/A,FALSE,"3.BS";#N/A,#N/A,FALSE,"4.PER PL";#N/A,#N/A,FALSE,"5.INVESTMENT";#N/A,#N/A,FALSE,"6.공문";#N/A,#N/A,FALSE,"7.netinvest"}</definedName>
    <definedName name="월" localSheetId="5" hidden="1">{#N/A,#N/A,FALSE,"1.CRITERIA";#N/A,#N/A,FALSE,"2.IS";#N/A,#N/A,FALSE,"3.BS";#N/A,#N/A,FALSE,"4.PER PL";#N/A,#N/A,FALSE,"5.INVESTMENT";#N/A,#N/A,FALSE,"6.공문";#N/A,#N/A,FALSE,"7.netinvest"}</definedName>
    <definedName name="월" hidden="1">{#N/A,#N/A,FALSE,"1.CRITERIA";#N/A,#N/A,FALSE,"2.IS";#N/A,#N/A,FALSE,"3.BS";#N/A,#N/A,FALSE,"4.PER PL";#N/A,#N/A,FALSE,"5.INVESTMENT";#N/A,#N/A,FALSE,"6.공문";#N/A,#N/A,FALSE,"7.netinvest"}</definedName>
    <definedName name="월말" localSheetId="1" hidden="1">{#N/A,#N/A,FALSE,"1.CRITERIA";#N/A,#N/A,FALSE,"2.IS";#N/A,#N/A,FALSE,"3.BS";#N/A,#N/A,FALSE,"4.PER PL";#N/A,#N/A,FALSE,"5.INVESTMENT";#N/A,#N/A,FALSE,"6.공문";#N/A,#N/A,FALSE,"7.netinvest"}</definedName>
    <definedName name="월말" localSheetId="3" hidden="1">{#N/A,#N/A,FALSE,"1.CRITERIA";#N/A,#N/A,FALSE,"2.IS";#N/A,#N/A,FALSE,"3.BS";#N/A,#N/A,FALSE,"4.PER PL";#N/A,#N/A,FALSE,"5.INVESTMENT";#N/A,#N/A,FALSE,"6.공문";#N/A,#N/A,FALSE,"7.netinvest"}</definedName>
    <definedName name="월말" localSheetId="4" hidden="1">{#N/A,#N/A,FALSE,"1.CRITERIA";#N/A,#N/A,FALSE,"2.IS";#N/A,#N/A,FALSE,"3.BS";#N/A,#N/A,FALSE,"4.PER PL";#N/A,#N/A,FALSE,"5.INVESTMENT";#N/A,#N/A,FALSE,"6.공문";#N/A,#N/A,FALSE,"7.netinvest"}</definedName>
    <definedName name="월말" localSheetId="5" hidden="1">{#N/A,#N/A,FALSE,"1.CRITERIA";#N/A,#N/A,FALSE,"2.IS";#N/A,#N/A,FALSE,"3.BS";#N/A,#N/A,FALSE,"4.PER PL";#N/A,#N/A,FALSE,"5.INVESTMENT";#N/A,#N/A,FALSE,"6.공문";#N/A,#N/A,FALSE,"7.netinvest"}</definedName>
    <definedName name="월말" hidden="1">{#N/A,#N/A,FALSE,"1.CRITERIA";#N/A,#N/A,FALSE,"2.IS";#N/A,#N/A,FALSE,"3.BS";#N/A,#N/A,FALSE,"4.PER PL";#N/A,#N/A,FALSE,"5.INVESTMENT";#N/A,#N/A,FALSE,"6.공문";#N/A,#N/A,FALSE,"7.netinvest"}</definedName>
    <definedName name="월별" localSheetId="1" hidden="1">{#N/A,#N/A,FALSE,"1.CRITERIA";#N/A,#N/A,FALSE,"2.IS";#N/A,#N/A,FALSE,"3.BS";#N/A,#N/A,FALSE,"4.PER PL";#N/A,#N/A,FALSE,"5.INVESTMENT";#N/A,#N/A,FALSE,"6.공문";#N/A,#N/A,FALSE,"7.netinvest"}</definedName>
    <definedName name="월별" localSheetId="3" hidden="1">{#N/A,#N/A,FALSE,"1.CRITERIA";#N/A,#N/A,FALSE,"2.IS";#N/A,#N/A,FALSE,"3.BS";#N/A,#N/A,FALSE,"4.PER PL";#N/A,#N/A,FALSE,"5.INVESTMENT";#N/A,#N/A,FALSE,"6.공문";#N/A,#N/A,FALSE,"7.netinvest"}</definedName>
    <definedName name="월별" localSheetId="4" hidden="1">{#N/A,#N/A,FALSE,"1.CRITERIA";#N/A,#N/A,FALSE,"2.IS";#N/A,#N/A,FALSE,"3.BS";#N/A,#N/A,FALSE,"4.PER PL";#N/A,#N/A,FALSE,"5.INVESTMENT";#N/A,#N/A,FALSE,"6.공문";#N/A,#N/A,FALSE,"7.netinvest"}</definedName>
    <definedName name="월별" localSheetId="5" hidden="1">{#N/A,#N/A,FALSE,"1.CRITERIA";#N/A,#N/A,FALSE,"2.IS";#N/A,#N/A,FALSE,"3.BS";#N/A,#N/A,FALSE,"4.PER PL";#N/A,#N/A,FALSE,"5.INVESTMENT";#N/A,#N/A,FALSE,"6.공문";#N/A,#N/A,FALSE,"7.netinvest"}</definedName>
    <definedName name="월별" hidden="1">{#N/A,#N/A,FALSE,"1.CRITERIA";#N/A,#N/A,FALSE,"2.IS";#N/A,#N/A,FALSE,"3.BS";#N/A,#N/A,FALSE,"4.PER PL";#N/A,#N/A,FALSE,"5.INVESTMENT";#N/A,#N/A,FALSE,"6.공문";#N/A,#N/A,FALSE,"7.netinvest"}</definedName>
    <definedName name="월별영업비용" localSheetId="1" hidden="1">{#N/A,#N/A,FALSE,"1.CRITERIA";#N/A,#N/A,FALSE,"2.IS";#N/A,#N/A,FALSE,"3.BS";#N/A,#N/A,FALSE,"4.PER PL";#N/A,#N/A,FALSE,"5.INVESTMENT";#N/A,#N/A,FALSE,"6.공문";#N/A,#N/A,FALSE,"7.netinvest"}</definedName>
    <definedName name="월별영업비용" localSheetId="3" hidden="1">{#N/A,#N/A,FALSE,"1.CRITERIA";#N/A,#N/A,FALSE,"2.IS";#N/A,#N/A,FALSE,"3.BS";#N/A,#N/A,FALSE,"4.PER PL";#N/A,#N/A,FALSE,"5.INVESTMENT";#N/A,#N/A,FALSE,"6.공문";#N/A,#N/A,FALSE,"7.netinvest"}</definedName>
    <definedName name="월별영업비용" localSheetId="4" hidden="1">{#N/A,#N/A,FALSE,"1.CRITERIA";#N/A,#N/A,FALSE,"2.IS";#N/A,#N/A,FALSE,"3.BS";#N/A,#N/A,FALSE,"4.PER PL";#N/A,#N/A,FALSE,"5.INVESTMENT";#N/A,#N/A,FALSE,"6.공문";#N/A,#N/A,FALSE,"7.netinvest"}</definedName>
    <definedName name="월별영업비용" localSheetId="5" hidden="1">{#N/A,#N/A,FALSE,"1.CRITERIA";#N/A,#N/A,FALSE,"2.IS";#N/A,#N/A,FALSE,"3.BS";#N/A,#N/A,FALSE,"4.PER PL";#N/A,#N/A,FALSE,"5.INVESTMENT";#N/A,#N/A,FALSE,"6.공문";#N/A,#N/A,FALSE,"7.netinvest"}</definedName>
    <definedName name="월별영업비용" hidden="1">{#N/A,#N/A,FALSE,"1.CRITERIA";#N/A,#N/A,FALSE,"2.IS";#N/A,#N/A,FALSE,"3.BS";#N/A,#N/A,FALSE,"4.PER PL";#N/A,#N/A,FALSE,"5.INVESTMENT";#N/A,#N/A,FALSE,"6.공문";#N/A,#N/A,FALSE,"7.netinvest"}</definedName>
    <definedName name="유이" localSheetId="1" hidden="1">{#N/A,#N/A,FALSE,"1.CRITERIA";#N/A,#N/A,FALSE,"2.IS";#N/A,#N/A,FALSE,"3.BS";#N/A,#N/A,FALSE,"4.PER PL";#N/A,#N/A,FALSE,"5.INVESTMENT";#N/A,#N/A,FALSE,"6.공문";#N/A,#N/A,FALSE,"7.netinvest"}</definedName>
    <definedName name="유이" localSheetId="3" hidden="1">{#N/A,#N/A,FALSE,"1.CRITERIA";#N/A,#N/A,FALSE,"2.IS";#N/A,#N/A,FALSE,"3.BS";#N/A,#N/A,FALSE,"4.PER PL";#N/A,#N/A,FALSE,"5.INVESTMENT";#N/A,#N/A,FALSE,"6.공문";#N/A,#N/A,FALSE,"7.netinvest"}</definedName>
    <definedName name="유이" localSheetId="4" hidden="1">{#N/A,#N/A,FALSE,"1.CRITERIA";#N/A,#N/A,FALSE,"2.IS";#N/A,#N/A,FALSE,"3.BS";#N/A,#N/A,FALSE,"4.PER PL";#N/A,#N/A,FALSE,"5.INVESTMENT";#N/A,#N/A,FALSE,"6.공문";#N/A,#N/A,FALSE,"7.netinvest"}</definedName>
    <definedName name="유이" localSheetId="5" hidden="1">{#N/A,#N/A,FALSE,"1.CRITERIA";#N/A,#N/A,FALSE,"2.IS";#N/A,#N/A,FALSE,"3.BS";#N/A,#N/A,FALSE,"4.PER PL";#N/A,#N/A,FALSE,"5.INVESTMENT";#N/A,#N/A,FALSE,"6.공문";#N/A,#N/A,FALSE,"7.netinvest"}</definedName>
    <definedName name="유이" hidden="1">{#N/A,#N/A,FALSE,"1.CRITERIA";#N/A,#N/A,FALSE,"2.IS";#N/A,#N/A,FALSE,"3.BS";#N/A,#N/A,FALSE,"4.PER PL";#N/A,#N/A,FALSE,"5.INVESTMENT";#N/A,#N/A,FALSE,"6.공문";#N/A,#N/A,FALSE,"7.netinvest"}</definedName>
    <definedName name="이름" hidden="1">255</definedName>
    <definedName name="이름2" localSheetId="1" hidden="1">{#N/A,#N/A,FALSE,"지침";#N/A,#N/A,FALSE,"환경분석";#N/A,#N/A,FALSE,"Sheet16"}</definedName>
    <definedName name="이름2" localSheetId="3" hidden="1">{#N/A,#N/A,FALSE,"지침";#N/A,#N/A,FALSE,"환경분석";#N/A,#N/A,FALSE,"Sheet16"}</definedName>
    <definedName name="이름2" localSheetId="4" hidden="1">{#N/A,#N/A,FALSE,"지침";#N/A,#N/A,FALSE,"환경분석";#N/A,#N/A,FALSE,"Sheet16"}</definedName>
    <definedName name="이름2" localSheetId="5" hidden="1">{#N/A,#N/A,FALSE,"지침";#N/A,#N/A,FALSE,"환경분석";#N/A,#N/A,FALSE,"Sheet16"}</definedName>
    <definedName name="이름2" hidden="1">{#N/A,#N/A,FALSE,"지침";#N/A,#N/A,FALSE,"환경분석";#N/A,#N/A,FALSE,"Sheet16"}</definedName>
    <definedName name="인쇄" localSheetId="1" hidden="1">{#N/A,#N/A,FALSE,"지침";#N/A,#N/A,FALSE,"환경분석";#N/A,#N/A,FALSE,"Sheet16"}</definedName>
    <definedName name="인쇄" localSheetId="3" hidden="1">{#N/A,#N/A,FALSE,"지침";#N/A,#N/A,FALSE,"환경분석";#N/A,#N/A,FALSE,"Sheet16"}</definedName>
    <definedName name="인쇄" localSheetId="4" hidden="1">{#N/A,#N/A,FALSE,"지침";#N/A,#N/A,FALSE,"환경분석";#N/A,#N/A,FALSE,"Sheet16"}</definedName>
    <definedName name="인쇄" localSheetId="5" hidden="1">{#N/A,#N/A,FALSE,"지침";#N/A,#N/A,FALSE,"환경분석";#N/A,#N/A,FALSE,"Sheet16"}</definedName>
    <definedName name="인쇄" hidden="1">{#N/A,#N/A,FALSE,"지침";#N/A,#N/A,FALSE,"환경분석";#N/A,#N/A,FALSE,"Sheet16"}</definedName>
    <definedName name="인쇄BU" localSheetId="1" hidden="1">{#N/A,#N/A,FALSE,"지침";#N/A,#N/A,FALSE,"환경분석";#N/A,#N/A,FALSE,"Sheet16"}</definedName>
    <definedName name="인쇄BU" localSheetId="3" hidden="1">{#N/A,#N/A,FALSE,"지침";#N/A,#N/A,FALSE,"환경분석";#N/A,#N/A,FALSE,"Sheet16"}</definedName>
    <definedName name="인쇄BU" localSheetId="4" hidden="1">{#N/A,#N/A,FALSE,"지침";#N/A,#N/A,FALSE,"환경분석";#N/A,#N/A,FALSE,"Sheet16"}</definedName>
    <definedName name="인쇄BU" localSheetId="5" hidden="1">{#N/A,#N/A,FALSE,"지침";#N/A,#N/A,FALSE,"환경분석";#N/A,#N/A,FALSE,"Sheet16"}</definedName>
    <definedName name="인쇄BU" hidden="1">{#N/A,#N/A,FALSE,"지침";#N/A,#N/A,FALSE,"환경분석";#N/A,#N/A,FALSE,"Sheet16"}</definedName>
    <definedName name="임시" localSheetId="1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임시" localSheetId="3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임시" localSheetId="4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임시" localSheetId="5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임시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잡손실" localSheetId="1" hidden="1">{#N/A,#N/A,FALSE,"1.CRITERIA";#N/A,#N/A,FALSE,"2.IS";#N/A,#N/A,FALSE,"3.BS";#N/A,#N/A,FALSE,"4.PER PL";#N/A,#N/A,FALSE,"5.INVESTMENT";#N/A,#N/A,FALSE,"6.공문";#N/A,#N/A,FALSE,"7.netinvest"}</definedName>
    <definedName name="잡손실" localSheetId="3" hidden="1">{#N/A,#N/A,FALSE,"1.CRITERIA";#N/A,#N/A,FALSE,"2.IS";#N/A,#N/A,FALSE,"3.BS";#N/A,#N/A,FALSE,"4.PER PL";#N/A,#N/A,FALSE,"5.INVESTMENT";#N/A,#N/A,FALSE,"6.공문";#N/A,#N/A,FALSE,"7.netinvest"}</definedName>
    <definedName name="잡손실" localSheetId="4" hidden="1">{#N/A,#N/A,FALSE,"1.CRITERIA";#N/A,#N/A,FALSE,"2.IS";#N/A,#N/A,FALSE,"3.BS";#N/A,#N/A,FALSE,"4.PER PL";#N/A,#N/A,FALSE,"5.INVESTMENT";#N/A,#N/A,FALSE,"6.공문";#N/A,#N/A,FALSE,"7.netinvest"}</definedName>
    <definedName name="잡손실" localSheetId="5" hidden="1">{#N/A,#N/A,FALSE,"1.CRITERIA";#N/A,#N/A,FALSE,"2.IS";#N/A,#N/A,FALSE,"3.BS";#N/A,#N/A,FALSE,"4.PER PL";#N/A,#N/A,FALSE,"5.INVESTMENT";#N/A,#N/A,FALSE,"6.공문";#N/A,#N/A,FALSE,"7.netinvest"}</definedName>
    <definedName name="잡손실" hidden="1">{#N/A,#N/A,FALSE,"1.CRITERIA";#N/A,#N/A,FALSE,"2.IS";#N/A,#N/A,FALSE,"3.BS";#N/A,#N/A,FALSE,"4.PER PL";#N/A,#N/A,FALSE,"5.INVESTMENT";#N/A,#N/A,FALSE,"6.공문";#N/A,#N/A,FALSE,"7.netinvest"}</definedName>
    <definedName name="잡이익" localSheetId="1" hidden="1">{#N/A,#N/A,FALSE,"1.CRITERIA";#N/A,#N/A,FALSE,"2.IS";#N/A,#N/A,FALSE,"3.BS";#N/A,#N/A,FALSE,"4.PER PL";#N/A,#N/A,FALSE,"5.INVESTMENT";#N/A,#N/A,FALSE,"6.공문";#N/A,#N/A,FALSE,"7.netinvest"}</definedName>
    <definedName name="잡이익" localSheetId="3" hidden="1">{#N/A,#N/A,FALSE,"1.CRITERIA";#N/A,#N/A,FALSE,"2.IS";#N/A,#N/A,FALSE,"3.BS";#N/A,#N/A,FALSE,"4.PER PL";#N/A,#N/A,FALSE,"5.INVESTMENT";#N/A,#N/A,FALSE,"6.공문";#N/A,#N/A,FALSE,"7.netinvest"}</definedName>
    <definedName name="잡이익" localSheetId="4" hidden="1">{#N/A,#N/A,FALSE,"1.CRITERIA";#N/A,#N/A,FALSE,"2.IS";#N/A,#N/A,FALSE,"3.BS";#N/A,#N/A,FALSE,"4.PER PL";#N/A,#N/A,FALSE,"5.INVESTMENT";#N/A,#N/A,FALSE,"6.공문";#N/A,#N/A,FALSE,"7.netinvest"}</definedName>
    <definedName name="잡이익" localSheetId="5" hidden="1">{#N/A,#N/A,FALSE,"1.CRITERIA";#N/A,#N/A,FALSE,"2.IS";#N/A,#N/A,FALSE,"3.BS";#N/A,#N/A,FALSE,"4.PER PL";#N/A,#N/A,FALSE,"5.INVESTMENT";#N/A,#N/A,FALSE,"6.공문";#N/A,#N/A,FALSE,"7.netinvest"}</definedName>
    <definedName name="잡이익" hidden="1">{#N/A,#N/A,FALSE,"1.CRITERIA";#N/A,#N/A,FALSE,"2.IS";#N/A,#N/A,FALSE,"3.BS";#N/A,#N/A,FALSE,"4.PER PL";#N/A,#N/A,FALSE,"5.INVESTMENT";#N/A,#N/A,FALSE,"6.공문";#N/A,#N/A,FALSE,"7.netinvest"}</definedName>
    <definedName name="주" localSheetId="1" hidden="1">{#N/A,#N/A,FALSE,"지침";#N/A,#N/A,FALSE,"환경분석";#N/A,#N/A,FALSE,"Sheet16"}</definedName>
    <definedName name="주" localSheetId="3" hidden="1">{#N/A,#N/A,FALSE,"지침";#N/A,#N/A,FALSE,"환경분석";#N/A,#N/A,FALSE,"Sheet16"}</definedName>
    <definedName name="주" localSheetId="4" hidden="1">{#N/A,#N/A,FALSE,"지침";#N/A,#N/A,FALSE,"환경분석";#N/A,#N/A,FALSE,"Sheet16"}</definedName>
    <definedName name="주" localSheetId="5" hidden="1">{#N/A,#N/A,FALSE,"지침";#N/A,#N/A,FALSE,"환경분석";#N/A,#N/A,FALSE,"Sheet16"}</definedName>
    <definedName name="주" hidden="1">{#N/A,#N/A,FALSE,"지침";#N/A,#N/A,FALSE,"환경분석";#N/A,#N/A,FALSE,"Sheet16"}</definedName>
    <definedName name="중간요약" localSheetId="1" hidden="1">{#N/A,#N/A,FALSE,"BS";#N/A,#N/A,FALSE,"PL";#N/A,#N/A,FALSE,"처분";#N/A,#N/A,FALSE,"현금";#N/A,#N/A,FALSE,"매출";#N/A,#N/A,FALSE,"원가";#N/A,#N/A,FALSE,"경영"}</definedName>
    <definedName name="중간요약" localSheetId="3" hidden="1">{#N/A,#N/A,FALSE,"BS";#N/A,#N/A,FALSE,"PL";#N/A,#N/A,FALSE,"처분";#N/A,#N/A,FALSE,"현금";#N/A,#N/A,FALSE,"매출";#N/A,#N/A,FALSE,"원가";#N/A,#N/A,FALSE,"경영"}</definedName>
    <definedName name="중간요약" localSheetId="4" hidden="1">{#N/A,#N/A,FALSE,"BS";#N/A,#N/A,FALSE,"PL";#N/A,#N/A,FALSE,"처분";#N/A,#N/A,FALSE,"현금";#N/A,#N/A,FALSE,"매출";#N/A,#N/A,FALSE,"원가";#N/A,#N/A,FALSE,"경영"}</definedName>
    <definedName name="중간요약" localSheetId="5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차" localSheetId="1" hidden="1">{#N/A,#N/A,FALSE,"1.CRITERIA";#N/A,#N/A,FALSE,"2.IS";#N/A,#N/A,FALSE,"3.BS";#N/A,#N/A,FALSE,"4.PER PL";#N/A,#N/A,FALSE,"5.INVESTMENT";#N/A,#N/A,FALSE,"6.공문";#N/A,#N/A,FALSE,"7.netinvest"}</definedName>
    <definedName name="차" localSheetId="3" hidden="1">{#N/A,#N/A,FALSE,"1.CRITERIA";#N/A,#N/A,FALSE,"2.IS";#N/A,#N/A,FALSE,"3.BS";#N/A,#N/A,FALSE,"4.PER PL";#N/A,#N/A,FALSE,"5.INVESTMENT";#N/A,#N/A,FALSE,"6.공문";#N/A,#N/A,FALSE,"7.netinvest"}</definedName>
    <definedName name="차" localSheetId="4" hidden="1">{#N/A,#N/A,FALSE,"1.CRITERIA";#N/A,#N/A,FALSE,"2.IS";#N/A,#N/A,FALSE,"3.BS";#N/A,#N/A,FALSE,"4.PER PL";#N/A,#N/A,FALSE,"5.INVESTMENT";#N/A,#N/A,FALSE,"6.공문";#N/A,#N/A,FALSE,"7.netinvest"}</definedName>
    <definedName name="차" localSheetId="5" hidden="1">{#N/A,#N/A,FALSE,"1.CRITERIA";#N/A,#N/A,FALSE,"2.IS";#N/A,#N/A,FALSE,"3.BS";#N/A,#N/A,FALSE,"4.PER PL";#N/A,#N/A,FALSE,"5.INVESTMENT";#N/A,#N/A,FALSE,"6.공문";#N/A,#N/A,FALSE,"7.netinvest"}</definedName>
    <definedName name="차" hidden="1">{#N/A,#N/A,FALSE,"1.CRITERIA";#N/A,#N/A,FALSE,"2.IS";#N/A,#N/A,FALSE,"3.BS";#N/A,#N/A,FALSE,"4.PER PL";#N/A,#N/A,FALSE,"5.INVESTMENT";#N/A,#N/A,FALSE,"6.공문";#N/A,#N/A,FALSE,"7.netinvest"}</definedName>
    <definedName name="최신" localSheetId="1" hidden="1">{#N/A,#N/A,FALSE,"지침";#N/A,#N/A,FALSE,"환경분석";#N/A,#N/A,FALSE,"Sheet16"}</definedName>
    <definedName name="최신" localSheetId="3" hidden="1">{#N/A,#N/A,FALSE,"지침";#N/A,#N/A,FALSE,"환경분석";#N/A,#N/A,FALSE,"Sheet16"}</definedName>
    <definedName name="최신" localSheetId="4" hidden="1">{#N/A,#N/A,FALSE,"지침";#N/A,#N/A,FALSE,"환경분석";#N/A,#N/A,FALSE,"Sheet16"}</definedName>
    <definedName name="최신" localSheetId="5" hidden="1">{#N/A,#N/A,FALSE,"지침";#N/A,#N/A,FALSE,"환경분석";#N/A,#N/A,FALSE,"Sheet16"}</definedName>
    <definedName name="최신" hidden="1">{#N/A,#N/A,FALSE,"지침";#N/A,#N/A,FALSE,"환경분석";#N/A,#N/A,FALSE,"Sheet16"}</definedName>
    <definedName name="최종" localSheetId="1" hidden="1">{#N/A,#N/A,FALSE,"지침";#N/A,#N/A,FALSE,"환경분석";#N/A,#N/A,FALSE,"Sheet16"}</definedName>
    <definedName name="최종" localSheetId="3" hidden="1">{#N/A,#N/A,FALSE,"지침";#N/A,#N/A,FALSE,"환경분석";#N/A,#N/A,FALSE,"Sheet16"}</definedName>
    <definedName name="최종" localSheetId="4" hidden="1">{#N/A,#N/A,FALSE,"지침";#N/A,#N/A,FALSE,"환경분석";#N/A,#N/A,FALSE,"Sheet16"}</definedName>
    <definedName name="최종" localSheetId="5" hidden="1">{#N/A,#N/A,FALSE,"지침";#N/A,#N/A,FALSE,"환경분석";#N/A,#N/A,FALSE,"Sheet16"}</definedName>
    <definedName name="최종" hidden="1">{#N/A,#N/A,FALSE,"지침";#N/A,#N/A,FALSE,"환경분석";#N/A,#N/A,FALSE,"Sheet16"}</definedName>
    <definedName name="ㅋㄴㅇㅀㅎ" localSheetId="1" hidden="1">{#N/A,#N/A,FALSE,"지침";#N/A,#N/A,FALSE,"환경분석";#N/A,#N/A,FALSE,"Sheet16"}</definedName>
    <definedName name="ㅋㄴㅇㅀㅎ" localSheetId="3" hidden="1">{#N/A,#N/A,FALSE,"지침";#N/A,#N/A,FALSE,"환경분석";#N/A,#N/A,FALSE,"Sheet16"}</definedName>
    <definedName name="ㅋㄴㅇㅀㅎ" localSheetId="4" hidden="1">{#N/A,#N/A,FALSE,"지침";#N/A,#N/A,FALSE,"환경분석";#N/A,#N/A,FALSE,"Sheet16"}</definedName>
    <definedName name="ㅋㄴㅇㅀㅎ" localSheetId="5" hidden="1">{#N/A,#N/A,FALSE,"지침";#N/A,#N/A,FALSE,"환경분석";#N/A,#N/A,FALSE,"Sheet16"}</definedName>
    <definedName name="ㅋㄴㅇㅀㅎ" hidden="1">{#N/A,#N/A,FALSE,"지침";#N/A,#N/A,FALSE,"환경분석";#N/A,#N/A,FALSE,"Sheet16"}</definedName>
    <definedName name="커머" localSheetId="1" hidden="1">{#N/A,#N/A,FALSE,"1.CRITERIA";#N/A,#N/A,FALSE,"2.IS";#N/A,#N/A,FALSE,"3.BS";#N/A,#N/A,FALSE,"4.PER PL";#N/A,#N/A,FALSE,"5.INVESTMENT";#N/A,#N/A,FALSE,"6.공문";#N/A,#N/A,FALSE,"7.netinvest"}</definedName>
    <definedName name="커머" localSheetId="3" hidden="1">{#N/A,#N/A,FALSE,"1.CRITERIA";#N/A,#N/A,FALSE,"2.IS";#N/A,#N/A,FALSE,"3.BS";#N/A,#N/A,FALSE,"4.PER PL";#N/A,#N/A,FALSE,"5.INVESTMENT";#N/A,#N/A,FALSE,"6.공문";#N/A,#N/A,FALSE,"7.netinvest"}</definedName>
    <definedName name="커머" localSheetId="4" hidden="1">{#N/A,#N/A,FALSE,"1.CRITERIA";#N/A,#N/A,FALSE,"2.IS";#N/A,#N/A,FALSE,"3.BS";#N/A,#N/A,FALSE,"4.PER PL";#N/A,#N/A,FALSE,"5.INVESTMENT";#N/A,#N/A,FALSE,"6.공문";#N/A,#N/A,FALSE,"7.netinvest"}</definedName>
    <definedName name="커머" localSheetId="5" hidden="1">{#N/A,#N/A,FALSE,"1.CRITERIA";#N/A,#N/A,FALSE,"2.IS";#N/A,#N/A,FALSE,"3.BS";#N/A,#N/A,FALSE,"4.PER PL";#N/A,#N/A,FALSE,"5.INVESTMENT";#N/A,#N/A,FALSE,"6.공문";#N/A,#N/A,FALSE,"7.netinvest"}</definedName>
    <definedName name="커머" hidden="1">{#N/A,#N/A,FALSE,"1.CRITERIA";#N/A,#N/A,FALSE,"2.IS";#N/A,#N/A,FALSE,"3.BS";#N/A,#N/A,FALSE,"4.PER PL";#N/A,#N/A,FALSE,"5.INVESTMENT";#N/A,#N/A,FALSE,"6.공문";#N/A,#N/A,FALSE,"7.netinvest"}</definedName>
    <definedName name="컼커" localSheetId="1" hidden="1">{#N/A,#N/A,FALSE,"1.CRITERIA";#N/A,#N/A,FALSE,"2.IS";#N/A,#N/A,FALSE,"3.BS";#N/A,#N/A,FALSE,"4.PER PL";#N/A,#N/A,FALSE,"5.INVESTMENT";#N/A,#N/A,FALSE,"6.공문";#N/A,#N/A,FALSE,"7.netinvest"}</definedName>
    <definedName name="컼커" localSheetId="3" hidden="1">{#N/A,#N/A,FALSE,"1.CRITERIA";#N/A,#N/A,FALSE,"2.IS";#N/A,#N/A,FALSE,"3.BS";#N/A,#N/A,FALSE,"4.PER PL";#N/A,#N/A,FALSE,"5.INVESTMENT";#N/A,#N/A,FALSE,"6.공문";#N/A,#N/A,FALSE,"7.netinvest"}</definedName>
    <definedName name="컼커" localSheetId="4" hidden="1">{#N/A,#N/A,FALSE,"1.CRITERIA";#N/A,#N/A,FALSE,"2.IS";#N/A,#N/A,FALSE,"3.BS";#N/A,#N/A,FALSE,"4.PER PL";#N/A,#N/A,FALSE,"5.INVESTMENT";#N/A,#N/A,FALSE,"6.공문";#N/A,#N/A,FALSE,"7.netinvest"}</definedName>
    <definedName name="컼커" localSheetId="5" hidden="1">{#N/A,#N/A,FALSE,"1.CRITERIA";#N/A,#N/A,FALSE,"2.IS";#N/A,#N/A,FALSE,"3.BS";#N/A,#N/A,FALSE,"4.PER PL";#N/A,#N/A,FALSE,"5.INVESTMENT";#N/A,#N/A,FALSE,"6.공문";#N/A,#N/A,FALSE,"7.netinvest"}</definedName>
    <definedName name="컼커" hidden="1">{#N/A,#N/A,FALSE,"1.CRITERIA";#N/A,#N/A,FALSE,"2.IS";#N/A,#N/A,FALSE,"3.BS";#N/A,#N/A,FALSE,"4.PER PL";#N/A,#N/A,FALSE,"5.INVESTMENT";#N/A,#N/A,FALSE,"6.공문";#N/A,#N/A,FALSE,"7.netinvest"}</definedName>
    <definedName name="특정" localSheetId="1" hidden="1">{#N/A,#N/A,FALSE,"1.CRITERIA";#N/A,#N/A,FALSE,"2.IS";#N/A,#N/A,FALSE,"3.BS";#N/A,#N/A,FALSE,"4.PER PL";#N/A,#N/A,FALSE,"5.INVESTMENT";#N/A,#N/A,FALSE,"6.공문";#N/A,#N/A,FALSE,"7.netinvest"}</definedName>
    <definedName name="특정" localSheetId="3" hidden="1">{#N/A,#N/A,FALSE,"1.CRITERIA";#N/A,#N/A,FALSE,"2.IS";#N/A,#N/A,FALSE,"3.BS";#N/A,#N/A,FALSE,"4.PER PL";#N/A,#N/A,FALSE,"5.INVESTMENT";#N/A,#N/A,FALSE,"6.공문";#N/A,#N/A,FALSE,"7.netinvest"}</definedName>
    <definedName name="특정" localSheetId="4" hidden="1">{#N/A,#N/A,FALSE,"1.CRITERIA";#N/A,#N/A,FALSE,"2.IS";#N/A,#N/A,FALSE,"3.BS";#N/A,#N/A,FALSE,"4.PER PL";#N/A,#N/A,FALSE,"5.INVESTMENT";#N/A,#N/A,FALSE,"6.공문";#N/A,#N/A,FALSE,"7.netinvest"}</definedName>
    <definedName name="특정" localSheetId="5" hidden="1">{#N/A,#N/A,FALSE,"1.CRITERIA";#N/A,#N/A,FALSE,"2.IS";#N/A,#N/A,FALSE,"3.BS";#N/A,#N/A,FALSE,"4.PER PL";#N/A,#N/A,FALSE,"5.INVESTMENT";#N/A,#N/A,FALSE,"6.공문";#N/A,#N/A,FALSE,"7.netinvest"}</definedName>
    <definedName name="특정" hidden="1">{#N/A,#N/A,FALSE,"1.CRITERIA";#N/A,#N/A,FALSE,"2.IS";#N/A,#N/A,FALSE,"3.BS";#N/A,#N/A,FALSE,"4.PER PL";#N/A,#N/A,FALSE,"5.INVESTMENT";#N/A,#N/A,FALSE,"6.공문";#N/A,#N/A,FALSE,"7.netinvest"}</definedName>
    <definedName name="파하" localSheetId="1" hidden="1">{#N/A,#N/A,FALSE,"1.CRITERIA";#N/A,#N/A,FALSE,"2.IS";#N/A,#N/A,FALSE,"3.BS";#N/A,#N/A,FALSE,"4.PER PL";#N/A,#N/A,FALSE,"5.INVESTMENT";#N/A,#N/A,FALSE,"6.공문";#N/A,#N/A,FALSE,"7.netinvest"}</definedName>
    <definedName name="파하" localSheetId="3" hidden="1">{#N/A,#N/A,FALSE,"1.CRITERIA";#N/A,#N/A,FALSE,"2.IS";#N/A,#N/A,FALSE,"3.BS";#N/A,#N/A,FALSE,"4.PER PL";#N/A,#N/A,FALSE,"5.INVESTMENT";#N/A,#N/A,FALSE,"6.공문";#N/A,#N/A,FALSE,"7.netinvest"}</definedName>
    <definedName name="파하" localSheetId="4" hidden="1">{#N/A,#N/A,FALSE,"1.CRITERIA";#N/A,#N/A,FALSE,"2.IS";#N/A,#N/A,FALSE,"3.BS";#N/A,#N/A,FALSE,"4.PER PL";#N/A,#N/A,FALSE,"5.INVESTMENT";#N/A,#N/A,FALSE,"6.공문";#N/A,#N/A,FALSE,"7.netinvest"}</definedName>
    <definedName name="파하" localSheetId="5" hidden="1">{#N/A,#N/A,FALSE,"1.CRITERIA";#N/A,#N/A,FALSE,"2.IS";#N/A,#N/A,FALSE,"3.BS";#N/A,#N/A,FALSE,"4.PER PL";#N/A,#N/A,FALSE,"5.INVESTMENT";#N/A,#N/A,FALSE,"6.공문";#N/A,#N/A,FALSE,"7.netinvest"}</definedName>
    <definedName name="파하" hidden="1">{#N/A,#N/A,FALSE,"1.CRITERIA";#N/A,#N/A,FALSE,"2.IS";#N/A,#N/A,FALSE,"3.BS";#N/A,#N/A,FALSE,"4.PER PL";#N/A,#N/A,FALSE,"5.INVESTMENT";#N/A,#N/A,FALSE,"6.공문";#N/A,#N/A,FALSE,"7.netinvest"}</definedName>
    <definedName name="하" localSheetId="1" hidden="1">{#N/A,#N/A,FALSE,"1.CRITERIA";#N/A,#N/A,FALSE,"2.IS";#N/A,#N/A,FALSE,"3.BS";#N/A,#N/A,FALSE,"4.PER PL";#N/A,#N/A,FALSE,"5.INVESTMENT";#N/A,#N/A,FALSE,"6.공문";#N/A,#N/A,FALSE,"7.netinvest"}</definedName>
    <definedName name="하" localSheetId="3" hidden="1">{#N/A,#N/A,FALSE,"1.CRITERIA";#N/A,#N/A,FALSE,"2.IS";#N/A,#N/A,FALSE,"3.BS";#N/A,#N/A,FALSE,"4.PER PL";#N/A,#N/A,FALSE,"5.INVESTMENT";#N/A,#N/A,FALSE,"6.공문";#N/A,#N/A,FALSE,"7.netinvest"}</definedName>
    <definedName name="하" localSheetId="4" hidden="1">{#N/A,#N/A,FALSE,"1.CRITERIA";#N/A,#N/A,FALSE,"2.IS";#N/A,#N/A,FALSE,"3.BS";#N/A,#N/A,FALSE,"4.PER PL";#N/A,#N/A,FALSE,"5.INVESTMENT";#N/A,#N/A,FALSE,"6.공문";#N/A,#N/A,FALSE,"7.netinvest"}</definedName>
    <definedName name="하" localSheetId="5" hidden="1">{#N/A,#N/A,FALSE,"1.CRITERIA";#N/A,#N/A,FALSE,"2.IS";#N/A,#N/A,FALSE,"3.BS";#N/A,#N/A,FALSE,"4.PER PL";#N/A,#N/A,FALSE,"5.INVESTMENT";#N/A,#N/A,FALSE,"6.공문";#N/A,#N/A,FALSE,"7.netinvest"}</definedName>
    <definedName name="하" hidden="1">{#N/A,#N/A,FALSE,"1.CRITERIA";#N/A,#N/A,FALSE,"2.IS";#N/A,#N/A,FALSE,"3.BS";#N/A,#N/A,FALSE,"4.PER PL";#N/A,#N/A,FALSE,"5.INVESTMENT";#N/A,#N/A,FALSE,"6.공문";#N/A,#N/A,FALSE,"7.netinvest"}</definedName>
    <definedName name="하위직심사기준" localSheetId="1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하위직심사기준" localSheetId="3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하위직심사기준" localSheetId="4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하위직심사기준" localSheetId="5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하위직심사기준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호" localSheetId="1" hidden="1">{#N/A,#N/A,FALSE,"1.CRITERIA";#N/A,#N/A,FALSE,"2.IS";#N/A,#N/A,FALSE,"3.BS";#N/A,#N/A,FALSE,"4.PER PL";#N/A,#N/A,FALSE,"5.INVESTMENT";#N/A,#N/A,FALSE,"6.공문";#N/A,#N/A,FALSE,"7.netinvest"}</definedName>
    <definedName name="호" localSheetId="3" hidden="1">{#N/A,#N/A,FALSE,"1.CRITERIA";#N/A,#N/A,FALSE,"2.IS";#N/A,#N/A,FALSE,"3.BS";#N/A,#N/A,FALSE,"4.PER PL";#N/A,#N/A,FALSE,"5.INVESTMENT";#N/A,#N/A,FALSE,"6.공문";#N/A,#N/A,FALSE,"7.netinvest"}</definedName>
    <definedName name="호" localSheetId="4" hidden="1">{#N/A,#N/A,FALSE,"1.CRITERIA";#N/A,#N/A,FALSE,"2.IS";#N/A,#N/A,FALSE,"3.BS";#N/A,#N/A,FALSE,"4.PER PL";#N/A,#N/A,FALSE,"5.INVESTMENT";#N/A,#N/A,FALSE,"6.공문";#N/A,#N/A,FALSE,"7.netinvest"}</definedName>
    <definedName name="호" localSheetId="5" hidden="1">{#N/A,#N/A,FALSE,"1.CRITERIA";#N/A,#N/A,FALSE,"2.IS";#N/A,#N/A,FALSE,"3.BS";#N/A,#N/A,FALSE,"4.PER PL";#N/A,#N/A,FALSE,"5.INVESTMENT";#N/A,#N/A,FALSE,"6.공문";#N/A,#N/A,FALSE,"7.netinvest"}</definedName>
    <definedName name="호" hidden="1">{#N/A,#N/A,FALSE,"1.CRITERIA";#N/A,#N/A,FALSE,"2.IS";#N/A,#N/A,FALSE,"3.BS";#N/A,#N/A,FALSE,"4.PER PL";#N/A,#N/A,FALSE,"5.INVESTMENT";#N/A,#N/A,FALSE,"6.공문";#N/A,#N/A,FALSE,"7.netinvest"}</definedName>
    <definedName name="효과3" localSheetId="1" hidden="1">{#N/A,#N/A,FALSE,"지침";#N/A,#N/A,FALSE,"환경분석";#N/A,#N/A,FALSE,"Sheet16"}</definedName>
    <definedName name="효과3" localSheetId="3" hidden="1">{#N/A,#N/A,FALSE,"지침";#N/A,#N/A,FALSE,"환경분석";#N/A,#N/A,FALSE,"Sheet16"}</definedName>
    <definedName name="효과3" localSheetId="4" hidden="1">{#N/A,#N/A,FALSE,"지침";#N/A,#N/A,FALSE,"환경분석";#N/A,#N/A,FALSE,"Sheet16"}</definedName>
    <definedName name="효과3" localSheetId="5" hidden="1">{#N/A,#N/A,FALSE,"지침";#N/A,#N/A,FALSE,"환경분석";#N/A,#N/A,FALSE,"Sheet16"}</definedName>
    <definedName name="효과3" hidden="1">{#N/A,#N/A,FALSE,"지침";#N/A,#N/A,FALSE,"환경분석";#N/A,#N/A,FALSE,"Sheet16"}</definedName>
    <definedName name="효과4" localSheetId="1" hidden="1">{#N/A,#N/A,FALSE,"지침";#N/A,#N/A,FALSE,"환경분석";#N/A,#N/A,FALSE,"Sheet16"}</definedName>
    <definedName name="효과4" localSheetId="3" hidden="1">{#N/A,#N/A,FALSE,"지침";#N/A,#N/A,FALSE,"환경분석";#N/A,#N/A,FALSE,"Sheet16"}</definedName>
    <definedName name="효과4" localSheetId="4" hidden="1">{#N/A,#N/A,FALSE,"지침";#N/A,#N/A,FALSE,"환경분석";#N/A,#N/A,FALSE,"Sheet16"}</definedName>
    <definedName name="효과4" localSheetId="5" hidden="1">{#N/A,#N/A,FALSE,"지침";#N/A,#N/A,FALSE,"환경분석";#N/A,#N/A,FALSE,"Sheet16"}</definedName>
    <definedName name="효과4" hidden="1">{#N/A,#N/A,FALSE,"지침";#N/A,#N/A,FALSE,"환경분석";#N/A,#N/A,FALSE,"Sheet16"}</definedName>
    <definedName name="ㅏ어ㅓ엉" localSheetId="1" hidden="1">{#N/A,#N/A,FALSE,"지침";#N/A,#N/A,FALSE,"환경분석";#N/A,#N/A,FALSE,"Sheet16"}</definedName>
    <definedName name="ㅏ어ㅓ엉" localSheetId="3" hidden="1">{#N/A,#N/A,FALSE,"지침";#N/A,#N/A,FALSE,"환경분석";#N/A,#N/A,FALSE,"Sheet16"}</definedName>
    <definedName name="ㅏ어ㅓ엉" localSheetId="4" hidden="1">{#N/A,#N/A,FALSE,"지침";#N/A,#N/A,FALSE,"환경분석";#N/A,#N/A,FALSE,"Sheet16"}</definedName>
    <definedName name="ㅏ어ㅓ엉" localSheetId="5" hidden="1">{#N/A,#N/A,FALSE,"지침";#N/A,#N/A,FALSE,"환경분석";#N/A,#N/A,FALSE,"Sheet16"}</definedName>
    <definedName name="ㅏ어ㅓ엉" hidden="1">{#N/A,#N/A,FALSE,"지침";#N/A,#N/A,FALSE,"환경분석";#N/A,#N/A,FALSE,"Sheet16"}</definedName>
    <definedName name="ㅐㅐㅐ" localSheetId="1" hidden="1">{#N/A,#N/A,FALSE,"지침";#N/A,#N/A,FALSE,"환경분석";#N/A,#N/A,FALSE,"Sheet16"}</definedName>
    <definedName name="ㅐㅐㅐ" localSheetId="3" hidden="1">{#N/A,#N/A,FALSE,"지침";#N/A,#N/A,FALSE,"환경분석";#N/A,#N/A,FALSE,"Sheet16"}</definedName>
    <definedName name="ㅐㅐㅐ" localSheetId="4" hidden="1">{#N/A,#N/A,FALSE,"지침";#N/A,#N/A,FALSE,"환경분석";#N/A,#N/A,FALSE,"Sheet16"}</definedName>
    <definedName name="ㅐㅐㅐ" localSheetId="5" hidden="1">{#N/A,#N/A,FALSE,"지침";#N/A,#N/A,FALSE,"환경분석";#N/A,#N/A,FALSE,"Sheet16"}</definedName>
    <definedName name="ㅐㅐㅐ" hidden="1">{#N/A,#N/A,FALSE,"지침";#N/A,#N/A,FALSE,"환경분석";#N/A,#N/A,FALSE,"Sheet16"}</definedName>
    <definedName name="ㅐㅐㅑㅑㅕㅕㅈ" localSheetId="1" hidden="1">{#N/A,#N/A,FALSE,"지침";#N/A,#N/A,FALSE,"환경분석";#N/A,#N/A,FALSE,"Sheet16"}</definedName>
    <definedName name="ㅐㅐㅑㅑㅕㅕㅈ" localSheetId="3" hidden="1">{#N/A,#N/A,FALSE,"지침";#N/A,#N/A,FALSE,"환경분석";#N/A,#N/A,FALSE,"Sheet16"}</definedName>
    <definedName name="ㅐㅐㅑㅑㅕㅕㅈ" localSheetId="4" hidden="1">{#N/A,#N/A,FALSE,"지침";#N/A,#N/A,FALSE,"환경분석";#N/A,#N/A,FALSE,"Sheet16"}</definedName>
    <definedName name="ㅐㅐㅑㅑㅕㅕㅈ" localSheetId="5" hidden="1">{#N/A,#N/A,FALSE,"지침";#N/A,#N/A,FALSE,"환경분석";#N/A,#N/A,FALSE,"Sheet16"}</definedName>
    <definedName name="ㅐㅐㅑㅑㅕㅕㅈ" hidden="1">{#N/A,#N/A,FALSE,"지침";#N/A,#N/A,FALSE,"환경분석";#N/A,#N/A,FALSE,"Sheet16"}</definedName>
    <definedName name="ㅔㅏㅏㅓ처ㅓㅓ엋" localSheetId="1" hidden="1">{#N/A,#N/A,FALSE,"지침";#N/A,#N/A,FALSE,"환경분석";#N/A,#N/A,FALSE,"Sheet16"}</definedName>
    <definedName name="ㅔㅏㅏㅓ처ㅓㅓ엋" localSheetId="3" hidden="1">{#N/A,#N/A,FALSE,"지침";#N/A,#N/A,FALSE,"환경분석";#N/A,#N/A,FALSE,"Sheet16"}</definedName>
    <definedName name="ㅔㅏㅏㅓ처ㅓㅓ엋" localSheetId="4" hidden="1">{#N/A,#N/A,FALSE,"지침";#N/A,#N/A,FALSE,"환경분석";#N/A,#N/A,FALSE,"Sheet16"}</definedName>
    <definedName name="ㅔㅏㅏㅓ처ㅓㅓ엋" localSheetId="5" hidden="1">{#N/A,#N/A,FALSE,"지침";#N/A,#N/A,FALSE,"환경분석";#N/A,#N/A,FALSE,"Sheet16"}</definedName>
    <definedName name="ㅔㅏㅏㅓ처ㅓㅓ엋" hidden="1">{#N/A,#N/A,FALSE,"지침";#N/A,#N/A,FALSE,"환경분석";#N/A,#N/A,FALSE,"Sheet16"}</definedName>
    <definedName name="ㅔㅐㅑㅑㅕㅕㄴ너" localSheetId="1" hidden="1">{#N/A,#N/A,FALSE,"지침";#N/A,#N/A,FALSE,"환경분석";#N/A,#N/A,FALSE,"Sheet16"}</definedName>
    <definedName name="ㅔㅐㅑㅑㅕㅕㄴ너" localSheetId="3" hidden="1">{#N/A,#N/A,FALSE,"지침";#N/A,#N/A,FALSE,"환경분석";#N/A,#N/A,FALSE,"Sheet16"}</definedName>
    <definedName name="ㅔㅐㅑㅑㅕㅕㄴ너" localSheetId="4" hidden="1">{#N/A,#N/A,FALSE,"지침";#N/A,#N/A,FALSE,"환경분석";#N/A,#N/A,FALSE,"Sheet16"}</definedName>
    <definedName name="ㅔㅐㅑㅑㅕㅕㄴ너" localSheetId="5" hidden="1">{#N/A,#N/A,FALSE,"지침";#N/A,#N/A,FALSE,"환경분석";#N/A,#N/A,FALSE,"Sheet16"}</definedName>
    <definedName name="ㅔㅐㅑㅑㅕㅕㄴ너" hidden="1">{#N/A,#N/A,FALSE,"지침";#N/A,#N/A,FALSE,"환경분석";#N/A,#N/A,FALSE,"Sheet16"}</definedName>
    <definedName name="ㅔㅐㅑㅕㅗㅗㅗㄴ" localSheetId="1" hidden="1">{#N/A,#N/A,FALSE,"지침";#N/A,#N/A,FALSE,"환경분석";#N/A,#N/A,FALSE,"Sheet16"}</definedName>
    <definedName name="ㅔㅐㅑㅕㅗㅗㅗㄴ" localSheetId="3" hidden="1">{#N/A,#N/A,FALSE,"지침";#N/A,#N/A,FALSE,"환경분석";#N/A,#N/A,FALSE,"Sheet16"}</definedName>
    <definedName name="ㅔㅐㅑㅕㅗㅗㅗㄴ" localSheetId="4" hidden="1">{#N/A,#N/A,FALSE,"지침";#N/A,#N/A,FALSE,"환경분석";#N/A,#N/A,FALSE,"Sheet16"}</definedName>
    <definedName name="ㅔㅐㅑㅕㅗㅗㅗㄴ" localSheetId="5" hidden="1">{#N/A,#N/A,FALSE,"지침";#N/A,#N/A,FALSE,"환경분석";#N/A,#N/A,FALSE,"Sheet16"}</definedName>
    <definedName name="ㅔㅐㅑㅕㅗㅗㅗㄴ" hidden="1">{#N/A,#N/A,FALSE,"지침";#N/A,#N/A,FALSE,"환경분석";#N/A,#N/A,FALSE,"Sheet16"}</definedName>
    <definedName name="ㅕ" localSheetId="1" hidden="1">{#N/A,#N/A,FALSE,"BS";#N/A,#N/A,FALSE,"PL";#N/A,#N/A,FALSE,"처분";#N/A,#N/A,FALSE,"현금";#N/A,#N/A,FALSE,"매출";#N/A,#N/A,FALSE,"원가";#N/A,#N/A,FALSE,"경영"}</definedName>
    <definedName name="ㅕ" localSheetId="3" hidden="1">{#N/A,#N/A,FALSE,"BS";#N/A,#N/A,FALSE,"PL";#N/A,#N/A,FALSE,"처분";#N/A,#N/A,FALSE,"현금";#N/A,#N/A,FALSE,"매출";#N/A,#N/A,FALSE,"원가";#N/A,#N/A,FALSE,"경영"}</definedName>
    <definedName name="ㅕ" localSheetId="4" hidden="1">{#N/A,#N/A,FALSE,"BS";#N/A,#N/A,FALSE,"PL";#N/A,#N/A,FALSE,"처분";#N/A,#N/A,FALSE,"현금";#N/A,#N/A,FALSE,"매출";#N/A,#N/A,FALSE,"원가";#N/A,#N/A,FALSE,"경영"}</definedName>
    <definedName name="ㅕ" localSheetId="5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뎌ㅕㄷ" localSheetId="1" hidden="1">{#N/A,#N/A,FALSE,"지침";#N/A,#N/A,FALSE,"환경분석";#N/A,#N/A,FALSE,"Sheet16"}</definedName>
    <definedName name="ㅕㅕ뎌ㅕㄷ" localSheetId="3" hidden="1">{#N/A,#N/A,FALSE,"지침";#N/A,#N/A,FALSE,"환경분석";#N/A,#N/A,FALSE,"Sheet16"}</definedName>
    <definedName name="ㅕㅕ뎌ㅕㄷ" localSheetId="4" hidden="1">{#N/A,#N/A,FALSE,"지침";#N/A,#N/A,FALSE,"환경분석";#N/A,#N/A,FALSE,"Sheet16"}</definedName>
    <definedName name="ㅕㅕ뎌ㅕㄷ" localSheetId="5" hidden="1">{#N/A,#N/A,FALSE,"지침";#N/A,#N/A,FALSE,"환경분석";#N/A,#N/A,FALSE,"Sheet16"}</definedName>
    <definedName name="ㅕㅕ뎌ㅕㄷ" hidden="1">{#N/A,#N/A,FALSE,"지침";#N/A,#N/A,FALSE,"환경분석";#N/A,#N/A,FALSE,"Sheet16"}</definedName>
    <definedName name="ㅠㅠㅠ" localSheetId="1" hidden="1">{#N/A,#N/A,FALSE,"지침";#N/A,#N/A,FALSE,"환경분석";#N/A,#N/A,FALSE,"Sheet16"}</definedName>
    <definedName name="ㅠㅠㅠ" localSheetId="3" hidden="1">{#N/A,#N/A,FALSE,"지침";#N/A,#N/A,FALSE,"환경분석";#N/A,#N/A,FALSE,"Sheet16"}</definedName>
    <definedName name="ㅠㅠㅠ" localSheetId="4" hidden="1">{#N/A,#N/A,FALSE,"지침";#N/A,#N/A,FALSE,"환경분석";#N/A,#N/A,FALSE,"Sheet16"}</definedName>
    <definedName name="ㅠㅠㅠ" localSheetId="5" hidden="1">{#N/A,#N/A,FALSE,"지침";#N/A,#N/A,FALSE,"환경분석";#N/A,#N/A,FALSE,"Sheet16"}</definedName>
    <definedName name="ㅠㅠㅠ" hidden="1">{#N/A,#N/A,FALSE,"지침";#N/A,#N/A,FALSE,"환경분석";#N/A,#N/A,FALSE,"Sheet16"}</definedName>
    <definedName name="ㅡㅡㅡ" localSheetId="1" hidden="1">{#N/A,#N/A,FALSE,"지침";#N/A,#N/A,FALSE,"환경분석";#N/A,#N/A,FALSE,"Sheet16"}</definedName>
    <definedName name="ㅡㅡㅡ" localSheetId="3" hidden="1">{#N/A,#N/A,FALSE,"지침";#N/A,#N/A,FALSE,"환경분석";#N/A,#N/A,FALSE,"Sheet16"}</definedName>
    <definedName name="ㅡㅡㅡ" localSheetId="4" hidden="1">{#N/A,#N/A,FALSE,"지침";#N/A,#N/A,FALSE,"환경분석";#N/A,#N/A,FALSE,"Sheet16"}</definedName>
    <definedName name="ㅡㅡㅡ" localSheetId="5" hidden="1">{#N/A,#N/A,FALSE,"지침";#N/A,#N/A,FALSE,"환경분석";#N/A,#N/A,FALSE,"Sheet16"}</definedName>
    <definedName name="ㅡㅡㅡ" hidden="1">{#N/A,#N/A,FALSE,"지침";#N/A,#N/A,FALSE,"환경분석";#N/A,#N/A,FALSE,"Sheet16"}</definedName>
    <definedName name="ㅣ나ㅓ너ㅓ엉" localSheetId="1" hidden="1">{#N/A,#N/A,FALSE,"지침";#N/A,#N/A,FALSE,"환경분석";#N/A,#N/A,FALSE,"Sheet16"}</definedName>
    <definedName name="ㅣ나ㅓ너ㅓ엉" localSheetId="3" hidden="1">{#N/A,#N/A,FALSE,"지침";#N/A,#N/A,FALSE,"환경분석";#N/A,#N/A,FALSE,"Sheet16"}</definedName>
    <definedName name="ㅣ나ㅓ너ㅓ엉" localSheetId="4" hidden="1">{#N/A,#N/A,FALSE,"지침";#N/A,#N/A,FALSE,"환경분석";#N/A,#N/A,FALSE,"Sheet16"}</definedName>
    <definedName name="ㅣ나ㅓ너ㅓ엉" localSheetId="5" hidden="1">{#N/A,#N/A,FALSE,"지침";#N/A,#N/A,FALSE,"환경분석";#N/A,#N/A,FALSE,"Sheet16"}</definedName>
    <definedName name="ㅣ나ㅓ너ㅓ엉" hidden="1">{#N/A,#N/A,FALSE,"지침";#N/A,#N/A,FALSE,"환경분석";#N/A,#N/A,FALSE,"Sheet16"}</definedName>
    <definedName name="ㅣㅇ어ㅓㅇ" localSheetId="1" hidden="1">{#N/A,#N/A,FALSE,"지침";#N/A,#N/A,FALSE,"환경분석";#N/A,#N/A,FALSE,"Sheet16"}</definedName>
    <definedName name="ㅣㅇ어ㅓㅇ" localSheetId="3" hidden="1">{#N/A,#N/A,FALSE,"지침";#N/A,#N/A,FALSE,"환경분석";#N/A,#N/A,FALSE,"Sheet16"}</definedName>
    <definedName name="ㅣㅇ어ㅓㅇ" localSheetId="4" hidden="1">{#N/A,#N/A,FALSE,"지침";#N/A,#N/A,FALSE,"환경분석";#N/A,#N/A,FALSE,"Sheet16"}</definedName>
    <definedName name="ㅣㅇ어ㅓㅇ" localSheetId="5" hidden="1">{#N/A,#N/A,FALSE,"지침";#N/A,#N/A,FALSE,"환경분석";#N/A,#N/A,FALSE,"Sheet16"}</definedName>
    <definedName name="ㅣㅇ어ㅓㅇ" hidden="1">{#N/A,#N/A,FALSE,"지침";#N/A,#N/A,FALSE,"환경분석";#N/A,#N/A,FALSE,"Sheet16"}</definedName>
    <definedName name="ㅣㅏ앙어" localSheetId="1" hidden="1">{#N/A,#N/A,FALSE,"지침";#N/A,#N/A,FALSE,"환경분석";#N/A,#N/A,FALSE,"Sheet16"}</definedName>
    <definedName name="ㅣㅏ앙어" localSheetId="3" hidden="1">{#N/A,#N/A,FALSE,"지침";#N/A,#N/A,FALSE,"환경분석";#N/A,#N/A,FALSE,"Sheet16"}</definedName>
    <definedName name="ㅣㅏ앙어" localSheetId="4" hidden="1">{#N/A,#N/A,FALSE,"지침";#N/A,#N/A,FALSE,"환경분석";#N/A,#N/A,FALSE,"Sheet16"}</definedName>
    <definedName name="ㅣㅏ앙어" localSheetId="5" hidden="1">{#N/A,#N/A,FALSE,"지침";#N/A,#N/A,FALSE,"환경분석";#N/A,#N/A,FALSE,"Sheet16"}</definedName>
    <definedName name="ㅣㅏ앙어" hidden="1">{#N/A,#N/A,FALSE,"지침";#N/A,#N/A,FALSE,"환경분석";#N/A,#N/A,FALSE,"Sheet16"}</definedName>
    <definedName name="ㅣㅏㅏㅓㅓㅓ먼" localSheetId="1" hidden="1">{#N/A,#N/A,FALSE,"지침";#N/A,#N/A,FALSE,"환경분석";#N/A,#N/A,FALSE,"Sheet16"}</definedName>
    <definedName name="ㅣㅏㅏㅓㅓㅓ먼" localSheetId="3" hidden="1">{#N/A,#N/A,FALSE,"지침";#N/A,#N/A,FALSE,"환경분석";#N/A,#N/A,FALSE,"Sheet16"}</definedName>
    <definedName name="ㅣㅏㅏㅓㅓㅓ먼" localSheetId="4" hidden="1">{#N/A,#N/A,FALSE,"지침";#N/A,#N/A,FALSE,"환경분석";#N/A,#N/A,FALSE,"Sheet16"}</definedName>
    <definedName name="ㅣㅏㅏㅓㅓㅓ먼" localSheetId="5" hidden="1">{#N/A,#N/A,FALSE,"지침";#N/A,#N/A,FALSE,"환경분석";#N/A,#N/A,FALSE,"Sheet16"}</definedName>
    <definedName name="ㅣㅏㅏㅓㅓㅓ먼" hidden="1">{#N/A,#N/A,FALSE,"지침";#N/A,#N/A,FALSE,"환경분석";#N/A,#N/A,FALSE,"Sheet16"}</definedName>
    <definedName name="ㅣㅣ아ㅓ어ㅓ퍼어ㅓ" localSheetId="1" hidden="1">{#N/A,#N/A,FALSE,"지침";#N/A,#N/A,FALSE,"환경분석";#N/A,#N/A,FALSE,"Sheet16"}</definedName>
    <definedName name="ㅣㅣ아ㅓ어ㅓ퍼어ㅓ" localSheetId="3" hidden="1">{#N/A,#N/A,FALSE,"지침";#N/A,#N/A,FALSE,"환경분석";#N/A,#N/A,FALSE,"Sheet16"}</definedName>
    <definedName name="ㅣㅣ아ㅓ어ㅓ퍼어ㅓ" localSheetId="4" hidden="1">{#N/A,#N/A,FALSE,"지침";#N/A,#N/A,FALSE,"환경분석";#N/A,#N/A,FALSE,"Sheet16"}</definedName>
    <definedName name="ㅣㅣ아ㅓ어ㅓ퍼어ㅓ" localSheetId="5" hidden="1">{#N/A,#N/A,FALSE,"지침";#N/A,#N/A,FALSE,"환경분석";#N/A,#N/A,FALSE,"Sheet16"}</definedName>
    <definedName name="ㅣㅣ아ㅓ어ㅓ퍼어ㅓ" hidden="1">{#N/A,#N/A,FALSE,"지침";#N/A,#N/A,FALSE,"환경분석";#N/A,#N/A,FALSE,"Sheet16"}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8" l="1"/>
  <c r="T5" i="18"/>
  <c r="T6" i="18"/>
  <c r="H7" i="18"/>
  <c r="I7" i="18"/>
  <c r="J7" i="18"/>
  <c r="J54" i="18" s="1"/>
  <c r="K7" i="18"/>
  <c r="L7" i="18"/>
  <c r="L58" i="18" s="1"/>
  <c r="M7" i="18"/>
  <c r="M58" i="18" s="1"/>
  <c r="N7" i="18"/>
  <c r="O7" i="18"/>
  <c r="O58" i="18" s="1"/>
  <c r="P7" i="18"/>
  <c r="P58" i="18" s="1"/>
  <c r="Q7" i="18"/>
  <c r="R7" i="18"/>
  <c r="S7" i="18"/>
  <c r="S58" i="18" s="1"/>
  <c r="U7" i="18"/>
  <c r="T8" i="18"/>
  <c r="T9" i="18"/>
  <c r="T53" i="18" s="1"/>
  <c r="T10" i="18"/>
  <c r="T11" i="18"/>
  <c r="T12" i="18"/>
  <c r="T13" i="18"/>
  <c r="T14" i="18"/>
  <c r="T15" i="18"/>
  <c r="T16" i="18"/>
  <c r="T17" i="18"/>
  <c r="T18" i="18"/>
  <c r="T19" i="18"/>
  <c r="T20" i="18"/>
  <c r="T21" i="18"/>
  <c r="T22" i="18"/>
  <c r="T23" i="18"/>
  <c r="T24" i="18"/>
  <c r="T25" i="18"/>
  <c r="T26" i="18"/>
  <c r="T27" i="18"/>
  <c r="T28" i="18"/>
  <c r="T29" i="18"/>
  <c r="T30" i="18"/>
  <c r="T31" i="18"/>
  <c r="T32" i="18"/>
  <c r="T33" i="18"/>
  <c r="T34" i="18"/>
  <c r="T35" i="18"/>
  <c r="T36" i="18"/>
  <c r="T37" i="18"/>
  <c r="T38" i="18"/>
  <c r="T39" i="18"/>
  <c r="T40" i="18"/>
  <c r="T41" i="18"/>
  <c r="T42" i="18"/>
  <c r="T43" i="18"/>
  <c r="T44" i="18"/>
  <c r="T45" i="18"/>
  <c r="T46" i="18"/>
  <c r="T47" i="18"/>
  <c r="T48" i="18"/>
  <c r="T49" i="18"/>
  <c r="T50" i="18"/>
  <c r="T51" i="18"/>
  <c r="T52" i="18"/>
  <c r="H53" i="18"/>
  <c r="H54" i="18" s="1"/>
  <c r="I53" i="18"/>
  <c r="I58" i="18" s="1"/>
  <c r="J53" i="18"/>
  <c r="K53" i="18"/>
  <c r="K54" i="18" s="1"/>
  <c r="L53" i="18"/>
  <c r="M53" i="18"/>
  <c r="N53" i="18"/>
  <c r="N54" i="18" s="1"/>
  <c r="O53" i="18"/>
  <c r="P53" i="18"/>
  <c r="Q53" i="18"/>
  <c r="Q54" i="18" s="1"/>
  <c r="R53" i="18"/>
  <c r="S53" i="18"/>
  <c r="U53" i="18"/>
  <c r="U109" i="18" s="1"/>
  <c r="O54" i="18"/>
  <c r="T55" i="18"/>
  <c r="J58" i="18"/>
  <c r="K58" i="18"/>
  <c r="H108" i="18"/>
  <c r="I108" i="18"/>
  <c r="J108" i="18"/>
  <c r="J109" i="18" s="1"/>
  <c r="K108" i="18"/>
  <c r="K109" i="18" s="1"/>
  <c r="L108" i="18"/>
  <c r="M108" i="18"/>
  <c r="N108" i="18"/>
  <c r="O108" i="18"/>
  <c r="P108" i="18"/>
  <c r="Q108" i="18"/>
  <c r="R108" i="18"/>
  <c r="S108" i="18"/>
  <c r="S109" i="18" s="1"/>
  <c r="U108" i="18"/>
  <c r="H111" i="18"/>
  <c r="I111" i="18"/>
  <c r="J111" i="18"/>
  <c r="K111" i="18"/>
  <c r="L111" i="18"/>
  <c r="M111" i="18"/>
  <c r="N111" i="18"/>
  <c r="O111" i="18"/>
  <c r="P111" i="18"/>
  <c r="Q111" i="18"/>
  <c r="R111" i="18"/>
  <c r="S111" i="18"/>
  <c r="U111" i="18"/>
  <c r="T4" i="16"/>
  <c r="T5" i="16"/>
  <c r="T6" i="16"/>
  <c r="H7" i="16"/>
  <c r="H94" i="16" s="1"/>
  <c r="I7" i="16"/>
  <c r="J7" i="16"/>
  <c r="K7" i="16"/>
  <c r="L7" i="16"/>
  <c r="L94" i="16" s="1"/>
  <c r="M7" i="16"/>
  <c r="M94" i="16" s="1"/>
  <c r="N7" i="16"/>
  <c r="N94" i="16" s="1"/>
  <c r="O7" i="16"/>
  <c r="P7" i="16"/>
  <c r="Q7" i="16"/>
  <c r="R7" i="16"/>
  <c r="S7" i="16"/>
  <c r="S94" i="16" s="1"/>
  <c r="T9" i="16"/>
  <c r="T10" i="16"/>
  <c r="T11" i="16"/>
  <c r="T12" i="16"/>
  <c r="T13" i="16"/>
  <c r="T14" i="16"/>
  <c r="T15" i="16"/>
  <c r="T16" i="16"/>
  <c r="T17" i="16"/>
  <c r="T18" i="16"/>
  <c r="T19" i="16"/>
  <c r="T20" i="16"/>
  <c r="T21" i="16"/>
  <c r="T22" i="16"/>
  <c r="T23" i="16"/>
  <c r="T24" i="16"/>
  <c r="T25" i="16"/>
  <c r="T26" i="16"/>
  <c r="T27" i="16"/>
  <c r="T28" i="16"/>
  <c r="T29" i="16"/>
  <c r="T30" i="16"/>
  <c r="T31" i="16"/>
  <c r="T32" i="16"/>
  <c r="T33" i="16"/>
  <c r="T34" i="16"/>
  <c r="T35" i="16"/>
  <c r="T36" i="16"/>
  <c r="T37" i="16"/>
  <c r="T38" i="16"/>
  <c r="T39" i="16"/>
  <c r="T40" i="16"/>
  <c r="T41" i="16"/>
  <c r="T42" i="16"/>
  <c r="T43" i="16"/>
  <c r="T44" i="16"/>
  <c r="T45" i="16"/>
  <c r="T46" i="16"/>
  <c r="T47" i="16"/>
  <c r="T48" i="16"/>
  <c r="T49" i="16"/>
  <c r="T50" i="16"/>
  <c r="T51" i="16"/>
  <c r="T52" i="16"/>
  <c r="T53" i="16"/>
  <c r="T54" i="16"/>
  <c r="T55" i="16"/>
  <c r="T56" i="16"/>
  <c r="T57" i="16"/>
  <c r="T58" i="16"/>
  <c r="T59" i="16"/>
  <c r="T60" i="16"/>
  <c r="T61" i="16"/>
  <c r="T62" i="16"/>
  <c r="T63" i="16"/>
  <c r="T64" i="16"/>
  <c r="T65" i="16"/>
  <c r="T66" i="16"/>
  <c r="T67" i="16"/>
  <c r="T68" i="16"/>
  <c r="T69" i="16"/>
  <c r="T70" i="16"/>
  <c r="T71" i="16"/>
  <c r="T72" i="16"/>
  <c r="T73" i="16"/>
  <c r="T74" i="16"/>
  <c r="T75" i="16"/>
  <c r="T76" i="16"/>
  <c r="T77" i="16"/>
  <c r="T78" i="16"/>
  <c r="T79" i="16"/>
  <c r="E80" i="16"/>
  <c r="H107" i="16" s="1"/>
  <c r="T80" i="16"/>
  <c r="T81" i="16"/>
  <c r="T82" i="16"/>
  <c r="T83" i="16"/>
  <c r="T84" i="16"/>
  <c r="T85" i="16"/>
  <c r="T86" i="16"/>
  <c r="T87" i="16"/>
  <c r="T88" i="16"/>
  <c r="H89" i="16"/>
  <c r="I89" i="16"/>
  <c r="I94" i="16" s="1"/>
  <c r="J89" i="16"/>
  <c r="K89" i="16"/>
  <c r="K91" i="16" s="1"/>
  <c r="L89" i="16"/>
  <c r="M89" i="16"/>
  <c r="N89" i="16"/>
  <c r="N91" i="16" s="1"/>
  <c r="O89" i="16"/>
  <c r="P89" i="16"/>
  <c r="P91" i="16" s="1"/>
  <c r="Q89" i="16"/>
  <c r="R89" i="16"/>
  <c r="S89" i="16"/>
  <c r="S91" i="16" s="1"/>
  <c r="T89" i="16"/>
  <c r="T90" i="16"/>
  <c r="Q91" i="16"/>
  <c r="R91" i="16"/>
  <c r="J94" i="16"/>
  <c r="K94" i="16"/>
  <c r="O94" i="16"/>
  <c r="P94" i="16"/>
  <c r="Q94" i="16"/>
  <c r="T98" i="16"/>
  <c r="H99" i="16"/>
  <c r="H105" i="16" s="1"/>
  <c r="I99" i="16"/>
  <c r="I105" i="16" s="1"/>
  <c r="P99" i="16"/>
  <c r="T99" i="16" s="1"/>
  <c r="T105" i="16" s="1"/>
  <c r="Q99" i="16"/>
  <c r="Q105" i="16" s="1"/>
  <c r="R99" i="16"/>
  <c r="S99" i="16"/>
  <c r="T100" i="16"/>
  <c r="T101" i="16"/>
  <c r="T102" i="16"/>
  <c r="H103" i="16"/>
  <c r="T103" i="16" s="1"/>
  <c r="I103" i="16"/>
  <c r="P103" i="16"/>
  <c r="Q103" i="16"/>
  <c r="Q108" i="16" s="1"/>
  <c r="R103" i="16"/>
  <c r="R105" i="16" s="1"/>
  <c r="S103" i="16"/>
  <c r="S105" i="16"/>
  <c r="Q107" i="16"/>
  <c r="H110" i="16"/>
  <c r="I110" i="16"/>
  <c r="J110" i="16"/>
  <c r="T110" i="16" s="1"/>
  <c r="F9" i="8" s="1"/>
  <c r="K110" i="16"/>
  <c r="L110" i="16"/>
  <c r="M110" i="16"/>
  <c r="N110" i="16"/>
  <c r="O110" i="16"/>
  <c r="P110" i="16"/>
  <c r="Q110" i="16"/>
  <c r="R110" i="16"/>
  <c r="S110" i="16"/>
  <c r="T4" i="17"/>
  <c r="T5" i="17"/>
  <c r="T6" i="17"/>
  <c r="H7" i="17"/>
  <c r="I7" i="17"/>
  <c r="I86" i="17" s="1"/>
  <c r="J7" i="17"/>
  <c r="J86" i="17" s="1"/>
  <c r="K7" i="17"/>
  <c r="K86" i="17" s="1"/>
  <c r="L7" i="17"/>
  <c r="M7" i="17"/>
  <c r="N7" i="17"/>
  <c r="N86" i="17" s="1"/>
  <c r="O7" i="17"/>
  <c r="P7" i="17"/>
  <c r="Q7" i="17"/>
  <c r="R7" i="17"/>
  <c r="S7" i="17"/>
  <c r="T9" i="17"/>
  <c r="T10" i="17"/>
  <c r="T11" i="17"/>
  <c r="T12" i="17"/>
  <c r="T13" i="17"/>
  <c r="T14" i="17"/>
  <c r="T15" i="17"/>
  <c r="T16" i="17"/>
  <c r="T17" i="17"/>
  <c r="T18" i="17"/>
  <c r="T19" i="17"/>
  <c r="T20" i="17"/>
  <c r="T21" i="17"/>
  <c r="T22" i="17"/>
  <c r="T23" i="17"/>
  <c r="T24" i="17"/>
  <c r="T25" i="17"/>
  <c r="T26" i="17"/>
  <c r="T27" i="17"/>
  <c r="T28" i="17"/>
  <c r="T29" i="17"/>
  <c r="T30" i="17"/>
  <c r="T31" i="17"/>
  <c r="T32" i="17"/>
  <c r="T33" i="17"/>
  <c r="T34" i="17"/>
  <c r="T35" i="17"/>
  <c r="T36" i="17"/>
  <c r="T37" i="17"/>
  <c r="T38" i="17"/>
  <c r="T39" i="17"/>
  <c r="T40" i="17"/>
  <c r="T41" i="17"/>
  <c r="T42" i="17"/>
  <c r="T43" i="17"/>
  <c r="T44" i="17"/>
  <c r="T45" i="17"/>
  <c r="T46" i="17"/>
  <c r="T47" i="17"/>
  <c r="T48" i="17"/>
  <c r="T49" i="17"/>
  <c r="T50" i="17"/>
  <c r="T51" i="17"/>
  <c r="T52" i="17"/>
  <c r="T53" i="17"/>
  <c r="T54" i="17"/>
  <c r="T55" i="17"/>
  <c r="T56" i="17"/>
  <c r="T57" i="17"/>
  <c r="T58" i="17"/>
  <c r="T59" i="17"/>
  <c r="T60" i="17"/>
  <c r="T61" i="17"/>
  <c r="T62" i="17"/>
  <c r="T63" i="17"/>
  <c r="T64" i="17"/>
  <c r="T65" i="17"/>
  <c r="T66" i="17"/>
  <c r="T67" i="17"/>
  <c r="T68" i="17"/>
  <c r="T69" i="17"/>
  <c r="T70" i="17"/>
  <c r="T71" i="17"/>
  <c r="T72" i="17"/>
  <c r="T73" i="17"/>
  <c r="T74" i="17"/>
  <c r="T75" i="17"/>
  <c r="T76" i="17"/>
  <c r="T77" i="17"/>
  <c r="T78" i="17"/>
  <c r="T79" i="17"/>
  <c r="T80" i="17"/>
  <c r="H81" i="17"/>
  <c r="H83" i="17" s="1"/>
  <c r="I81" i="17"/>
  <c r="I83" i="17" s="1"/>
  <c r="J81" i="17"/>
  <c r="J83" i="17" s="1"/>
  <c r="K81" i="17"/>
  <c r="L81" i="17"/>
  <c r="L83" i="17" s="1"/>
  <c r="M81" i="17"/>
  <c r="N81" i="17"/>
  <c r="O81" i="17"/>
  <c r="P81" i="17"/>
  <c r="Q81" i="17"/>
  <c r="R81" i="17"/>
  <c r="R83" i="17" s="1"/>
  <c r="S81" i="17"/>
  <c r="S86" i="17" s="1"/>
  <c r="T82" i="17"/>
  <c r="M83" i="17"/>
  <c r="N83" i="17"/>
  <c r="O83" i="17"/>
  <c r="P91" i="17"/>
  <c r="P97" i="17"/>
  <c r="Q91" i="17"/>
  <c r="Q99" i="17" s="1"/>
  <c r="Q84" i="17" s="1"/>
  <c r="Q97" i="17"/>
  <c r="R91" i="17"/>
  <c r="R97" i="17"/>
  <c r="R99" i="17"/>
  <c r="R84" i="17" s="1"/>
  <c r="S91" i="17"/>
  <c r="S97" i="17"/>
  <c r="S99" i="17"/>
  <c r="S84" i="17" s="1"/>
  <c r="H86" i="17"/>
  <c r="M86" i="17"/>
  <c r="T90" i="17"/>
  <c r="T91" i="17" s="1"/>
  <c r="T93" i="17"/>
  <c r="T97" i="17" s="1"/>
  <c r="T94" i="17"/>
  <c r="T95" i="17"/>
  <c r="T96" i="17"/>
  <c r="H108" i="17"/>
  <c r="H109" i="17" s="1"/>
  <c r="I108" i="17"/>
  <c r="J108" i="17"/>
  <c r="K108" i="17"/>
  <c r="L108" i="17"/>
  <c r="M108" i="17"/>
  <c r="N108" i="17"/>
  <c r="N109" i="17" s="1"/>
  <c r="O108" i="17"/>
  <c r="P108" i="17"/>
  <c r="Q108" i="17"/>
  <c r="R108" i="17"/>
  <c r="S108" i="17"/>
  <c r="L109" i="17"/>
  <c r="M109" i="17"/>
  <c r="H111" i="17"/>
  <c r="I111" i="17"/>
  <c r="T111" i="17" s="1"/>
  <c r="E9" i="8" s="1"/>
  <c r="J111" i="17"/>
  <c r="K111" i="17"/>
  <c r="L111" i="17"/>
  <c r="M111" i="17"/>
  <c r="N111" i="17"/>
  <c r="O111" i="17"/>
  <c r="P111" i="17"/>
  <c r="Q111" i="17"/>
  <c r="R111" i="17"/>
  <c r="S111" i="17"/>
  <c r="T4" i="15"/>
  <c r="T5" i="15"/>
  <c r="T6" i="15"/>
  <c r="H7" i="15"/>
  <c r="I7" i="15"/>
  <c r="J7" i="15"/>
  <c r="K7" i="15"/>
  <c r="L7" i="15"/>
  <c r="L82" i="15" s="1"/>
  <c r="M7" i="15"/>
  <c r="M82" i="15" s="1"/>
  <c r="N7" i="15"/>
  <c r="O7" i="15"/>
  <c r="P7" i="15"/>
  <c r="P82" i="15" s="1"/>
  <c r="Q7" i="15"/>
  <c r="Q82" i="15" s="1"/>
  <c r="R7" i="15"/>
  <c r="R82" i="15" s="1"/>
  <c r="S7" i="15"/>
  <c r="T9" i="15"/>
  <c r="T10" i="15"/>
  <c r="T11" i="15"/>
  <c r="T12" i="15"/>
  <c r="T13" i="15"/>
  <c r="T14" i="15"/>
  <c r="T15" i="15"/>
  <c r="T80" i="15" s="1"/>
  <c r="T16" i="15"/>
  <c r="T17" i="15"/>
  <c r="T18" i="15"/>
  <c r="T19" i="15"/>
  <c r="T20" i="15"/>
  <c r="T21" i="15"/>
  <c r="T22" i="15"/>
  <c r="T23" i="15"/>
  <c r="T24" i="15"/>
  <c r="T25" i="15"/>
  <c r="T26" i="15"/>
  <c r="T27" i="15"/>
  <c r="T28" i="15"/>
  <c r="T29" i="15"/>
  <c r="T30" i="15"/>
  <c r="T31" i="15"/>
  <c r="T32" i="15"/>
  <c r="T33" i="15"/>
  <c r="T34" i="15"/>
  <c r="T35" i="15"/>
  <c r="T36" i="15"/>
  <c r="T37" i="15"/>
  <c r="T38" i="15"/>
  <c r="T39" i="15"/>
  <c r="T40" i="15"/>
  <c r="T41" i="15"/>
  <c r="T42" i="15"/>
  <c r="T43" i="15"/>
  <c r="T44" i="15"/>
  <c r="T45" i="15"/>
  <c r="T46" i="15"/>
  <c r="T47" i="15"/>
  <c r="T48" i="15"/>
  <c r="T49" i="15"/>
  <c r="T50" i="15"/>
  <c r="T51" i="15"/>
  <c r="T52" i="15"/>
  <c r="T53" i="15"/>
  <c r="T54" i="15"/>
  <c r="T55" i="15"/>
  <c r="T56" i="15"/>
  <c r="T57" i="15"/>
  <c r="T58" i="15"/>
  <c r="T59" i="15"/>
  <c r="T60" i="15"/>
  <c r="T61" i="15"/>
  <c r="T62" i="15"/>
  <c r="T63" i="15"/>
  <c r="T64" i="15"/>
  <c r="T65" i="15"/>
  <c r="T66" i="15"/>
  <c r="T67" i="15"/>
  <c r="T68" i="15"/>
  <c r="T69" i="15"/>
  <c r="T70" i="15"/>
  <c r="T71" i="15"/>
  <c r="T72" i="15"/>
  <c r="T73" i="15"/>
  <c r="T74" i="15"/>
  <c r="T75" i="15"/>
  <c r="T76" i="15"/>
  <c r="T77" i="15"/>
  <c r="T78" i="15"/>
  <c r="T79" i="15"/>
  <c r="H80" i="15"/>
  <c r="H85" i="15" s="1"/>
  <c r="I80" i="15"/>
  <c r="I85" i="15" s="1"/>
  <c r="J80" i="15"/>
  <c r="J109" i="15" s="1"/>
  <c r="K80" i="15"/>
  <c r="K109" i="15" s="1"/>
  <c r="L80" i="15"/>
  <c r="M80" i="15"/>
  <c r="N80" i="15"/>
  <c r="N109" i="15" s="1"/>
  <c r="O80" i="15"/>
  <c r="O109" i="15" s="1"/>
  <c r="P80" i="15"/>
  <c r="Q80" i="15"/>
  <c r="R80" i="15"/>
  <c r="S80" i="15"/>
  <c r="S109" i="15" s="1"/>
  <c r="T81" i="15"/>
  <c r="H108" i="15"/>
  <c r="I108" i="15"/>
  <c r="J108" i="15"/>
  <c r="K108" i="15"/>
  <c r="L108" i="15"/>
  <c r="M108" i="15"/>
  <c r="N108" i="15"/>
  <c r="O108" i="15"/>
  <c r="P108" i="15"/>
  <c r="P109" i="15" s="1"/>
  <c r="Q108" i="15"/>
  <c r="R108" i="15"/>
  <c r="S108" i="15"/>
  <c r="H111" i="15"/>
  <c r="I111" i="15"/>
  <c r="J111" i="15"/>
  <c r="K111" i="15"/>
  <c r="L111" i="15"/>
  <c r="M111" i="15"/>
  <c r="N111" i="15"/>
  <c r="O111" i="15"/>
  <c r="P111" i="15"/>
  <c r="Q111" i="15"/>
  <c r="R111" i="15"/>
  <c r="S111" i="15"/>
  <c r="T4" i="1"/>
  <c r="T5" i="1"/>
  <c r="T6" i="1"/>
  <c r="H7" i="1"/>
  <c r="I7" i="1"/>
  <c r="J7" i="1"/>
  <c r="K7" i="1"/>
  <c r="L7" i="1"/>
  <c r="M7" i="1"/>
  <c r="N7" i="1"/>
  <c r="O7" i="1"/>
  <c r="O99" i="1" s="1"/>
  <c r="P7" i="1"/>
  <c r="Q7" i="1"/>
  <c r="Q96" i="1" s="1"/>
  <c r="R7" i="1"/>
  <c r="R96" i="1" s="1"/>
  <c r="S7" i="1"/>
  <c r="S96" i="1" s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H94" i="1"/>
  <c r="H99" i="1" s="1"/>
  <c r="I94" i="1"/>
  <c r="I99" i="1" s="1"/>
  <c r="J94" i="1"/>
  <c r="K94" i="1"/>
  <c r="L94" i="1"/>
  <c r="M94" i="1"/>
  <c r="N94" i="1"/>
  <c r="O94" i="1"/>
  <c r="P94" i="1"/>
  <c r="Q94" i="1"/>
  <c r="Q109" i="1" s="1"/>
  <c r="R94" i="1"/>
  <c r="R109" i="1" s="1"/>
  <c r="S94" i="1"/>
  <c r="T95" i="1"/>
  <c r="K99" i="1"/>
  <c r="L99" i="1"/>
  <c r="M99" i="1"/>
  <c r="N99" i="1"/>
  <c r="H108" i="1"/>
  <c r="I108" i="1"/>
  <c r="J108" i="1"/>
  <c r="J109" i="1" s="1"/>
  <c r="K108" i="1"/>
  <c r="L108" i="1"/>
  <c r="M108" i="1"/>
  <c r="N108" i="1"/>
  <c r="O108" i="1"/>
  <c r="P108" i="1"/>
  <c r="Q108" i="1"/>
  <c r="R108" i="1"/>
  <c r="S108" i="1"/>
  <c r="H109" i="1"/>
  <c r="O109" i="1"/>
  <c r="P109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T111" i="1" l="1"/>
  <c r="C9" i="8" s="1"/>
  <c r="K82" i="15"/>
  <c r="I82" i="15"/>
  <c r="R54" i="18"/>
  <c r="T108" i="15"/>
  <c r="D4" i="8" s="1"/>
  <c r="S109" i="1"/>
  <c r="P96" i="1"/>
  <c r="M85" i="15"/>
  <c r="Q109" i="17"/>
  <c r="S54" i="18"/>
  <c r="Q58" i="18"/>
  <c r="J85" i="15"/>
  <c r="L85" i="15"/>
  <c r="M96" i="1"/>
  <c r="T111" i="15"/>
  <c r="D9" i="8" s="1"/>
  <c r="O82" i="15"/>
  <c r="T7" i="15"/>
  <c r="T82" i="15" s="1"/>
  <c r="T108" i="17"/>
  <c r="E4" i="8" s="1"/>
  <c r="Q109" i="18"/>
  <c r="P54" i="18"/>
  <c r="N58" i="18"/>
  <c r="T111" i="18"/>
  <c r="G9" i="8" s="1"/>
  <c r="S83" i="17"/>
  <c r="L96" i="1"/>
  <c r="Q86" i="17"/>
  <c r="O109" i="18"/>
  <c r="T99" i="17"/>
  <c r="R109" i="18"/>
  <c r="N109" i="1"/>
  <c r="K96" i="1"/>
  <c r="P86" i="17"/>
  <c r="L108" i="16"/>
  <c r="O96" i="1"/>
  <c r="M109" i="1"/>
  <c r="J99" i="1"/>
  <c r="T81" i="17"/>
  <c r="O86" i="17"/>
  <c r="M54" i="18"/>
  <c r="T54" i="18" s="1"/>
  <c r="L109" i="1"/>
  <c r="T109" i="1" s="1"/>
  <c r="C5" i="8" s="1"/>
  <c r="C6" i="8" s="1"/>
  <c r="I96" i="1"/>
  <c r="H109" i="15"/>
  <c r="R109" i="15"/>
  <c r="L109" i="18"/>
  <c r="K85" i="15"/>
  <c r="K109" i="1"/>
  <c r="Q109" i="15"/>
  <c r="Q83" i="17"/>
  <c r="S85" i="15"/>
  <c r="L86" i="17"/>
  <c r="R107" i="16"/>
  <c r="R108" i="16" s="1"/>
  <c r="H58" i="18"/>
  <c r="T58" i="18" s="1"/>
  <c r="T94" i="1"/>
  <c r="T7" i="1"/>
  <c r="T96" i="1" s="1"/>
  <c r="L107" i="16"/>
  <c r="T108" i="1"/>
  <c r="C4" i="8" s="1"/>
  <c r="M109" i="15"/>
  <c r="T108" i="18"/>
  <c r="G4" i="8" s="1"/>
  <c r="T7" i="18"/>
  <c r="L109" i="15"/>
  <c r="O85" i="15"/>
  <c r="P99" i="17"/>
  <c r="P84" i="17" s="1"/>
  <c r="T7" i="17"/>
  <c r="T84" i="17"/>
  <c r="P83" i="17"/>
  <c r="T83" i="17" s="1"/>
  <c r="H108" i="16"/>
  <c r="N109" i="18"/>
  <c r="N82" i="15"/>
  <c r="S99" i="1"/>
  <c r="S109" i="17"/>
  <c r="O91" i="16"/>
  <c r="T7" i="16"/>
  <c r="T94" i="16" s="1"/>
  <c r="R58" i="18"/>
  <c r="L54" i="18"/>
  <c r="R99" i="1"/>
  <c r="R85" i="15"/>
  <c r="R109" i="17"/>
  <c r="P105" i="16"/>
  <c r="Q99" i="1"/>
  <c r="J96" i="1"/>
  <c r="Q85" i="15"/>
  <c r="J82" i="15"/>
  <c r="M91" i="16"/>
  <c r="T91" i="16" s="1"/>
  <c r="I109" i="18"/>
  <c r="P99" i="1"/>
  <c r="T99" i="1" s="1"/>
  <c r="P85" i="15"/>
  <c r="P109" i="17"/>
  <c r="L91" i="16"/>
  <c r="H109" i="18"/>
  <c r="I54" i="18"/>
  <c r="I109" i="1"/>
  <c r="H96" i="1"/>
  <c r="I109" i="15"/>
  <c r="H82" i="15"/>
  <c r="O109" i="17"/>
  <c r="R94" i="16"/>
  <c r="N85" i="15"/>
  <c r="S107" i="16"/>
  <c r="S108" i="16" s="1"/>
  <c r="J109" i="17"/>
  <c r="O107" i="16"/>
  <c r="O108" i="16" s="1"/>
  <c r="K109" i="17"/>
  <c r="P107" i="16"/>
  <c r="P108" i="16" s="1"/>
  <c r="I109" i="17"/>
  <c r="N107" i="16"/>
  <c r="N108" i="16" s="1"/>
  <c r="M107" i="16"/>
  <c r="M108" i="16" s="1"/>
  <c r="S82" i="15"/>
  <c r="J107" i="16"/>
  <c r="J108" i="16" s="1"/>
  <c r="K83" i="17"/>
  <c r="K107" i="16"/>
  <c r="K108" i="16" s="1"/>
  <c r="R86" i="17"/>
  <c r="I107" i="16"/>
  <c r="I108" i="16" s="1"/>
  <c r="P109" i="18"/>
  <c r="N96" i="1"/>
  <c r="M109" i="18"/>
  <c r="T109" i="17" l="1"/>
  <c r="E5" i="8" s="1"/>
  <c r="E6" i="8" s="1"/>
  <c r="T85" i="15"/>
  <c r="T109" i="15"/>
  <c r="D5" i="8" s="1"/>
  <c r="D6" i="8" s="1"/>
  <c r="T107" i="16"/>
  <c r="F4" i="8" s="1"/>
  <c r="T86" i="17"/>
  <c r="T108" i="16"/>
  <c r="F5" i="8" s="1"/>
  <c r="T109" i="18"/>
  <c r="G5" i="8" s="1"/>
  <c r="G6" i="8" s="1"/>
  <c r="F6" i="8" l="1"/>
</calcChain>
</file>

<file path=xl/sharedStrings.xml><?xml version="1.0" encoding="utf-8"?>
<sst xmlns="http://schemas.openxmlformats.org/spreadsheetml/2006/main" count="1178" uniqueCount="380">
  <si>
    <t>G/L Account</t>
  </si>
  <si>
    <t>4112211 Marketing Fee Incomes</t>
    <phoneticPr fontId="0" type="noConversion"/>
  </si>
  <si>
    <t>Data Management</t>
  </si>
  <si>
    <t>Jukeboxy</t>
  </si>
  <si>
    <t>Print Center</t>
  </si>
  <si>
    <t>Paid Media</t>
  </si>
  <si>
    <t>Social Scheduling and Analytics</t>
  </si>
  <si>
    <t>Survey Monkey</t>
  </si>
  <si>
    <t>Media</t>
  </si>
  <si>
    <t>(M)CRM/Loyalty</t>
  </si>
  <si>
    <t>(M)Market research</t>
  </si>
  <si>
    <t>Propaganda, Inc.</t>
  </si>
  <si>
    <t>(M)Menu</t>
  </si>
  <si>
    <t>The printing center, Inc</t>
  </si>
  <si>
    <t>(M)Menu Development</t>
  </si>
  <si>
    <t>SPM COMMUNICATIONS, INC</t>
  </si>
  <si>
    <t>Stingray Worldwide LLC</t>
  </si>
  <si>
    <t>(M)Misc</t>
  </si>
  <si>
    <t>(M)Music</t>
  </si>
  <si>
    <t>Creative Media Solutions, LLC _Juke Boxy</t>
  </si>
  <si>
    <t>(M)National Advertisement</t>
  </si>
  <si>
    <t>Mindstream Media Group,LLC</t>
  </si>
  <si>
    <t>(M)Social Media</t>
  </si>
  <si>
    <t>(M)Nutrition Fact</t>
  </si>
  <si>
    <t>Nutritional Information Services</t>
  </si>
  <si>
    <t>(M)Overhead expense</t>
  </si>
  <si>
    <t>(M)Photo &amp; Video</t>
  </si>
  <si>
    <t>(M)Promotions</t>
  </si>
  <si>
    <t>Doordash, Inc</t>
  </si>
  <si>
    <t>Bonchon Holdings LLC</t>
  </si>
  <si>
    <t>(M)Public Relations</t>
  </si>
  <si>
    <t>Marketing Informatics LLC</t>
  </si>
  <si>
    <t>(M)Website</t>
  </si>
  <si>
    <t>Face Book</t>
  </si>
  <si>
    <t>MomentFeed Inc.</t>
  </si>
  <si>
    <t>DigitalOcean</t>
  </si>
  <si>
    <t>(M)Others</t>
  </si>
  <si>
    <t>Mirus Information Tech Service, Inc</t>
  </si>
  <si>
    <t>Sprout Social, Inc</t>
  </si>
  <si>
    <t>(M)Agency</t>
  </si>
  <si>
    <t>Salesforce.com, Inc.</t>
  </si>
  <si>
    <t>RAF Enterprises L.L.C.</t>
  </si>
  <si>
    <t>Bank of America</t>
  </si>
  <si>
    <t>Pepsi</t>
  </si>
  <si>
    <t>Overhead</t>
  </si>
  <si>
    <t>Blackbox Intelligence</t>
  </si>
  <si>
    <t>Marketing liability</t>
  </si>
  <si>
    <t>Vendor in SAP</t>
  </si>
  <si>
    <t>4112212 Marketing fee incomes- Pepsi</t>
  </si>
  <si>
    <t>4112213 Marketing fee incomes- Others</t>
  </si>
  <si>
    <t>Check</t>
  </si>
  <si>
    <t>Actual</t>
  </si>
  <si>
    <t>Total Marketing income</t>
  </si>
  <si>
    <t>Memo</t>
  </si>
  <si>
    <t xml:space="preserve"> Total Marketing expense</t>
  </si>
  <si>
    <t>Stingray</t>
  </si>
  <si>
    <t>DOT IT RESTAURANT LLC</t>
  </si>
  <si>
    <t>Cardlytics, Inc.</t>
  </si>
  <si>
    <t>Robert Tsai Photography</t>
  </si>
  <si>
    <t>Datassential, Inc.</t>
  </si>
  <si>
    <t>House of Features Jeremy Klefeker</t>
  </si>
  <si>
    <t>Michael Aaron Ulmer</t>
  </si>
  <si>
    <t>ezCarter, Inc</t>
  </si>
  <si>
    <t>CossmanPR LLC</t>
  </si>
  <si>
    <t>Ethnography</t>
  </si>
  <si>
    <t>G&amp;A</t>
  </si>
  <si>
    <t>Team Salaries &amp; Benefits</t>
  </si>
  <si>
    <t>Uberall:  Cost Per Month</t>
  </si>
  <si>
    <t>Marketing Informatics</t>
  </si>
  <si>
    <t>Menu Printing:  Print Center</t>
  </si>
  <si>
    <t>Menu Printing:  Colormark</t>
  </si>
  <si>
    <t>Creative Agency Propoganda: (ends in May 17)</t>
  </si>
  <si>
    <t>Creative, out of scope</t>
  </si>
  <si>
    <t>SPM:  B2C PR</t>
  </si>
  <si>
    <t>Crossman:  B2C PR Monthly</t>
  </si>
  <si>
    <t>MMG:  Media Retainer</t>
  </si>
  <si>
    <t>Colormark:  Menu Portal</t>
  </si>
  <si>
    <t>Hello:  ADA Scan</t>
  </si>
  <si>
    <t>Hello: Site Support</t>
  </si>
  <si>
    <t>Digital Ocean:  Hosting</t>
  </si>
  <si>
    <t>Salesforce:  Cost Per Month</t>
  </si>
  <si>
    <t>Richard Flores:  Customer Database</t>
  </si>
  <si>
    <t>Mirus:  Data Feed</t>
  </si>
  <si>
    <t>Sprout:  Social Reviews</t>
  </si>
  <si>
    <t>Dataessentials:   AI Pricing Tool</t>
  </si>
  <si>
    <t>Black Box:  Industry Data</t>
  </si>
  <si>
    <t>Survey Monkey Subscription</t>
  </si>
  <si>
    <t>(M)Brand Development</t>
  </si>
  <si>
    <t xml:space="preserve">Plot Twist Analysis &amp; Workshop Facilitation </t>
  </si>
  <si>
    <t>Photo Shoots - House of Features (Social Footage/Drum Trio)</t>
  </si>
  <si>
    <t>Photo Shoots - Robert</t>
  </si>
  <si>
    <t>Local Activation/Influencer/Social Content</t>
  </si>
  <si>
    <t>Cardlytics</t>
  </si>
  <si>
    <t>Uber Eats Placements/Promos</t>
  </si>
  <si>
    <t>Door Dash Placements/Promos</t>
  </si>
  <si>
    <t>U30 Group, Inc.</t>
  </si>
  <si>
    <t>The Luupe, Inc.</t>
  </si>
  <si>
    <t>Social video shoot for March Maddness</t>
  </si>
  <si>
    <t>D. Augustine &amp; Associates Augustine Agency</t>
  </si>
  <si>
    <t>Retainer</t>
  </si>
  <si>
    <t>Description</t>
  </si>
  <si>
    <t>Uber Portier, LLC</t>
  </si>
  <si>
    <t>From Concur expense report</t>
  </si>
  <si>
    <t>Brand Expenses (Reports)</t>
  </si>
  <si>
    <t>Imaginuity:  SEO Set Up</t>
  </si>
  <si>
    <t>Imaginuity:  Site Optimization MGMT</t>
  </si>
  <si>
    <t>Video Shoot &amp; Editing DC</t>
  </si>
  <si>
    <t>Amplification Media</t>
  </si>
  <si>
    <t>Site Support</t>
  </si>
  <si>
    <t>Hello Digital</t>
  </si>
  <si>
    <t>Medium Giant Company, Inc Medium Giant</t>
  </si>
  <si>
    <t>Wasserman Media Group, LLC</t>
  </si>
  <si>
    <t>Uber Portier, Llc</t>
  </si>
  <si>
    <t>Marden-Kane Inc</t>
  </si>
  <si>
    <t>Local Activation/Influencer/Social Content 1</t>
  </si>
  <si>
    <t>MMG:  Media Retainer 1</t>
  </si>
  <si>
    <t>GetTattle Inc</t>
  </si>
  <si>
    <t>Calise Partners, LLC Imaginuity</t>
  </si>
  <si>
    <t>Fedex</t>
  </si>
  <si>
    <t>Meda Spend, Restaurant Profiles, Trailblazer (all LSM)</t>
  </si>
  <si>
    <t>Cassandra Cornell, LLC</t>
  </si>
  <si>
    <t>NIL</t>
  </si>
  <si>
    <t>Plot Twist Analysis &amp; Workshop Facilitation 1</t>
  </si>
  <si>
    <t>Media 1</t>
  </si>
  <si>
    <t>Creeative Retainer:  Carson &amp; Doyle</t>
  </si>
  <si>
    <t>Flavor Stickers</t>
  </si>
  <si>
    <t>Tattle:  Guest Sat Program Pilot Test</t>
  </si>
  <si>
    <t>Tattle:  Guest Sat System Rollout</t>
  </si>
  <si>
    <t>Test Menus/Materials/Product</t>
  </si>
  <si>
    <t>COLORMARK, L.C.</t>
  </si>
  <si>
    <t>Pixel and Tonic, Inc</t>
  </si>
  <si>
    <t>CarsonDoyle Creative Agency,Ltd.</t>
  </si>
  <si>
    <t>Local Activation/Influencer/Social Content 2</t>
  </si>
  <si>
    <t>Colormark</t>
  </si>
  <si>
    <t>Test Sauces</t>
  </si>
  <si>
    <t>Craft Massachusetts</t>
  </si>
  <si>
    <t>Test Menus/Materials/Product 1</t>
  </si>
  <si>
    <t>CarsonDoyle Creative Agency, Ltd.</t>
  </si>
  <si>
    <t>Doordash</t>
  </si>
  <si>
    <t>Total DoorDash income</t>
  </si>
  <si>
    <t>Total DoorDash expense</t>
  </si>
  <si>
    <t>DoorDash Fund</t>
  </si>
  <si>
    <t>DoorDash Promotion</t>
  </si>
  <si>
    <t>Sysco - North Texas</t>
  </si>
  <si>
    <t>Stevenson Ranch CA</t>
  </si>
  <si>
    <t>DoorDash Promotion- Sep</t>
  </si>
  <si>
    <t>Menu Printing, System</t>
  </si>
  <si>
    <t>Remarkable Culinary LLC</t>
  </si>
  <si>
    <t>Ferraro Foods</t>
  </si>
  <si>
    <t>Displays2go</t>
  </si>
  <si>
    <t>Strop Insights</t>
  </si>
  <si>
    <t>Jake's Inc.</t>
  </si>
  <si>
    <t>Kelsey Wilson Photography</t>
  </si>
  <si>
    <t>Dylan Andrews</t>
  </si>
  <si>
    <t>Kadin Shedrick</t>
  </si>
  <si>
    <t>Kyle Jarred Filipowski</t>
  </si>
  <si>
    <t>All Points Public Relations, LLC</t>
  </si>
  <si>
    <t>Clearpeak Interactive,Inc</t>
  </si>
  <si>
    <t>Intrinsic Digital, Inc. RestaurantGeofencing.com</t>
  </si>
  <si>
    <t>Zack Tzourtzouklis Wave Film Production</t>
  </si>
  <si>
    <t>THREE KINGS ENTERPRISES LLC</t>
  </si>
  <si>
    <t>Sherry Shi Sherry Eat World</t>
  </si>
  <si>
    <t>Chinese for Affirmative Action</t>
  </si>
  <si>
    <t>Long Mountain Partners, LLC</t>
  </si>
  <si>
    <t>ADOBE</t>
  </si>
  <si>
    <t>Impact Brands LLC</t>
  </si>
  <si>
    <t>Video Production</t>
  </si>
  <si>
    <t>Checksforless.com</t>
  </si>
  <si>
    <t>Delivery Promo</t>
  </si>
  <si>
    <t>Local Store Identity Field Day</t>
  </si>
  <si>
    <t>Salesforce.com</t>
  </si>
  <si>
    <t>Klaviyo Inc.</t>
  </si>
  <si>
    <t>Hyde Park Group, LLC</t>
  </si>
  <si>
    <t>Brandito, LLC</t>
  </si>
  <si>
    <t>WTWH Media LLC</t>
  </si>
  <si>
    <t>UPS</t>
  </si>
  <si>
    <t>FIELO USA LLC</t>
  </si>
  <si>
    <t>Valassis Direct Mail, Inc</t>
  </si>
  <si>
    <t>(M)Newsletter</t>
  </si>
  <si>
    <t>MailChimp</t>
  </si>
  <si>
    <t>The Food Photo Agency, Inc.</t>
  </si>
  <si>
    <t>Bonchon.com</t>
  </si>
  <si>
    <t>Cumulus Media Inc.</t>
  </si>
  <si>
    <t>CDXL LLC</t>
  </si>
  <si>
    <t>Trilogy L.L.C.</t>
  </si>
  <si>
    <t>M and H LLC</t>
  </si>
  <si>
    <t>Samantha Shepherd</t>
  </si>
  <si>
    <t>Hype Film Productions, LLC</t>
  </si>
  <si>
    <t>Bonchon USA Inc</t>
  </si>
  <si>
    <t>Frisco Roughriders LP</t>
  </si>
  <si>
    <t>US Sweepstakes and Fulfillment Co. Laughton MKT Comm.</t>
  </si>
  <si>
    <t>Sunwest Communications, Inc.</t>
  </si>
  <si>
    <t>MOMENTFEED UB, INC.</t>
  </si>
  <si>
    <t>Dallas Eat More LLC</t>
  </si>
  <si>
    <t>Yelp Inc</t>
  </si>
  <si>
    <t>Daym Good Entertainment Inc</t>
  </si>
  <si>
    <t>Voss Management Inc</t>
  </si>
  <si>
    <t>Brett Austin Marketing LLC</t>
  </si>
  <si>
    <t>Eric Htoy</t>
  </si>
  <si>
    <t>Google</t>
  </si>
  <si>
    <t>Printmoz.com</t>
  </si>
  <si>
    <t>Etsy.com</t>
  </si>
  <si>
    <t>Funasia - PM Radio LLC</t>
  </si>
  <si>
    <t>Bank Of America</t>
  </si>
  <si>
    <t>Grubhub Holdings Inc</t>
  </si>
  <si>
    <t>Misc</t>
  </si>
  <si>
    <t>misc</t>
  </si>
  <si>
    <t>Bad Debt</t>
  </si>
  <si>
    <t>Magna Marketing LLC</t>
  </si>
  <si>
    <t>Working</t>
  </si>
  <si>
    <t>Non-working</t>
  </si>
  <si>
    <t>Total Marketing Spending</t>
  </si>
  <si>
    <t>Plan</t>
  </si>
  <si>
    <t>FY</t>
  </si>
  <si>
    <t>Fishbowl Inc.</t>
  </si>
  <si>
    <t xml:space="preserve">System Menu </t>
  </si>
  <si>
    <t>Value Meal</t>
  </si>
  <si>
    <t>TK America, Inc</t>
  </si>
  <si>
    <t>TK Sauce Development</t>
  </si>
  <si>
    <t>Reprint of Dots</t>
  </si>
  <si>
    <t xml:space="preserve">New Recipes, Par Frying, etc </t>
  </si>
  <si>
    <t>Software</t>
  </si>
  <si>
    <t>Creative Request Platform</t>
  </si>
  <si>
    <t>Travel &amp; Expenses</t>
  </si>
  <si>
    <t>new plateware</t>
  </si>
  <si>
    <t>Muckbang &amp; Value</t>
  </si>
  <si>
    <t>Lemongrass Ginger, Salad, Kimchi Fries, Curds</t>
  </si>
  <si>
    <t>Ramen</t>
  </si>
  <si>
    <t>Catering, Gift Cards</t>
  </si>
  <si>
    <t>Lifestyle</t>
  </si>
  <si>
    <t>Korean Freelancers</t>
  </si>
  <si>
    <t>TBD</t>
  </si>
  <si>
    <t>Lifestyle Talent</t>
  </si>
  <si>
    <t>Lunar NY, Super Bowl, Liners</t>
  </si>
  <si>
    <t xml:space="preserve">Value Meal </t>
  </si>
  <si>
    <t>Amazon</t>
  </si>
  <si>
    <t>Gift Cards for GC contest winners</t>
  </si>
  <si>
    <t>Influncers - Lunar NY, Super Bowl</t>
  </si>
  <si>
    <t>Lunar NY Bags</t>
  </si>
  <si>
    <t>Catering Promo</t>
  </si>
  <si>
    <t>$4 off 2.5 day promotion</t>
  </si>
  <si>
    <t>The NCC Group of LA LLC New Catering Connections</t>
  </si>
  <si>
    <t>Catering Test - DFW, Boston, 15 sessions</t>
  </si>
  <si>
    <t>Boosting organic social</t>
  </si>
  <si>
    <t>Hello Digital LLC</t>
  </si>
  <si>
    <t xml:space="preserve">ADA Scan </t>
  </si>
  <si>
    <t>Platform updates</t>
  </si>
  <si>
    <t>Hosting</t>
  </si>
  <si>
    <t>Platform</t>
  </si>
  <si>
    <t>Net Marketing Fund</t>
  </si>
  <si>
    <t>Sysco Boston, LLC</t>
  </si>
  <si>
    <t>Net DoorDash Fund</t>
  </si>
  <si>
    <t>Digital Ads Platfrom</t>
  </si>
  <si>
    <t>NRO/ Local Media</t>
  </si>
  <si>
    <t>Freshworks Inc Dept # 880636</t>
  </si>
  <si>
    <t>Freelance designer</t>
  </si>
  <si>
    <t>Influencers - classic crunch</t>
  </si>
  <si>
    <t>Influencers - Bulgogi takeover</t>
  </si>
  <si>
    <t>Influencers - football</t>
  </si>
  <si>
    <t>Influencers - brand ambassedors</t>
  </si>
  <si>
    <t>3rd Party Delivery Media</t>
  </si>
  <si>
    <t>Paid Search</t>
  </si>
  <si>
    <t>Paid Social</t>
  </si>
  <si>
    <t>Online Video/Display</t>
  </si>
  <si>
    <t xml:space="preserve">NRO/Local Media </t>
  </si>
  <si>
    <t xml:space="preserve">Influencer/Content Prod </t>
  </si>
  <si>
    <t>Bonchon.com/App Promo</t>
  </si>
  <si>
    <t>EzCater Media</t>
  </si>
  <si>
    <t>Pax Americana Inc.</t>
  </si>
  <si>
    <t>Brandverge, Inc.</t>
  </si>
  <si>
    <t>Veylan Inc</t>
  </si>
  <si>
    <t>AI Marketing Tool</t>
  </si>
  <si>
    <t>Ada settlement</t>
  </si>
  <si>
    <t>DCI</t>
  </si>
  <si>
    <t>Donut Bouncebacks</t>
  </si>
  <si>
    <t>Franchisee</t>
  </si>
  <si>
    <t>Donut promotion</t>
  </si>
  <si>
    <t>$5 promotion</t>
  </si>
  <si>
    <t>Ipage by Network Solutions</t>
  </si>
  <si>
    <t>Marqii, Inc</t>
  </si>
  <si>
    <t>Ad creative and POP material</t>
  </si>
  <si>
    <t>F22P01</t>
  </si>
  <si>
    <t>F22P02</t>
  </si>
  <si>
    <t>F22P03</t>
  </si>
  <si>
    <t>F22P04</t>
  </si>
  <si>
    <t>F22P05</t>
  </si>
  <si>
    <t>F22P06</t>
  </si>
  <si>
    <t>F22P07</t>
  </si>
  <si>
    <t>F22P08</t>
  </si>
  <si>
    <t>F22P09</t>
  </si>
  <si>
    <t>F22P10</t>
  </si>
  <si>
    <t>F22P11</t>
  </si>
  <si>
    <t>F22P12</t>
  </si>
  <si>
    <t>F23P01</t>
  </si>
  <si>
    <t>F23P02</t>
  </si>
  <si>
    <t>F23P03</t>
  </si>
  <si>
    <t>F23P04</t>
  </si>
  <si>
    <t>F23P05</t>
  </si>
  <si>
    <t>F23P06</t>
  </si>
  <si>
    <t>F23P07</t>
  </si>
  <si>
    <t>F23P08</t>
  </si>
  <si>
    <t>F23P09</t>
  </si>
  <si>
    <t>F23P10</t>
  </si>
  <si>
    <t>F23P11</t>
  </si>
  <si>
    <t>F23P12</t>
  </si>
  <si>
    <t>F24P01</t>
  </si>
  <si>
    <t>F24P02</t>
  </si>
  <si>
    <t>F24P03</t>
  </si>
  <si>
    <t>F24P04</t>
  </si>
  <si>
    <t>F24P05</t>
  </si>
  <si>
    <t>F24P06</t>
  </si>
  <si>
    <t>F24P07</t>
  </si>
  <si>
    <t>F24P08</t>
  </si>
  <si>
    <t>F24P09</t>
  </si>
  <si>
    <t>F24P10</t>
  </si>
  <si>
    <t>F24P11</t>
  </si>
  <si>
    <t>F24P12</t>
  </si>
  <si>
    <t>F25P01</t>
  </si>
  <si>
    <t>F25P02</t>
  </si>
  <si>
    <t>F25P03</t>
  </si>
  <si>
    <t>F25P04</t>
  </si>
  <si>
    <t>F25P05</t>
  </si>
  <si>
    <t>F25P06</t>
  </si>
  <si>
    <t>F25P07</t>
  </si>
  <si>
    <t>F25P08</t>
  </si>
  <si>
    <t>F25P09</t>
  </si>
  <si>
    <t>F25P10</t>
  </si>
  <si>
    <t>F25P11</t>
  </si>
  <si>
    <t>F25P12</t>
  </si>
  <si>
    <t>F22FY</t>
  </si>
  <si>
    <t>F23FY</t>
  </si>
  <si>
    <t>Tattle responses</t>
  </si>
  <si>
    <t>Retainer/AI Media/Marketing Tool</t>
  </si>
  <si>
    <t>Crunch Club Email Sends</t>
  </si>
  <si>
    <t>(M)Market Research</t>
  </si>
  <si>
    <t>Guest Recovery</t>
  </si>
  <si>
    <t>Guest Survey Platform</t>
  </si>
  <si>
    <t>Platform Subscription</t>
  </si>
  <si>
    <t>AI menu pricing Tool</t>
  </si>
  <si>
    <t>Monthly Promotions</t>
  </si>
  <si>
    <t>Misc Print Production</t>
  </si>
  <si>
    <t>Uniforms</t>
  </si>
  <si>
    <t>Playlist Subscription</t>
  </si>
  <si>
    <t>Local Media</t>
  </si>
  <si>
    <t>NRO Media</t>
  </si>
  <si>
    <t>National Digital Paid Media</t>
  </si>
  <si>
    <t>New/Revised Recipes</t>
  </si>
  <si>
    <t>Content Production</t>
  </si>
  <si>
    <t>Freelance Designer</t>
  </si>
  <si>
    <t>Menu/Lifestyle Photography</t>
  </si>
  <si>
    <t>3PD Media</t>
  </si>
  <si>
    <t>Promotional Activation</t>
  </si>
  <si>
    <t>Influencers - Brand Ambassedors</t>
  </si>
  <si>
    <t>National Rollout POP Production</t>
  </si>
  <si>
    <t>National Rollout PR Activation</t>
  </si>
  <si>
    <t>Merchandising</t>
  </si>
  <si>
    <t>Sales Report</t>
  </si>
  <si>
    <t>Promotional Funding/Redemption</t>
  </si>
  <si>
    <t>Website Legal Settlement</t>
  </si>
  <si>
    <t>Platform - Location/Listings</t>
  </si>
  <si>
    <t>Olo Catering Pilot</t>
  </si>
  <si>
    <t>3PD</t>
  </si>
  <si>
    <t>3rd Party Delivery</t>
  </si>
  <si>
    <t>F26P01</t>
  </si>
  <si>
    <t>F26P02</t>
  </si>
  <si>
    <t>F26P03</t>
  </si>
  <si>
    <t>F26P04</t>
  </si>
  <si>
    <t>F26P05</t>
  </si>
  <si>
    <t>F26P06</t>
  </si>
  <si>
    <t>F26P07</t>
  </si>
  <si>
    <t>F26P08</t>
  </si>
  <si>
    <t>F26P09</t>
  </si>
  <si>
    <t>F26P10</t>
  </si>
  <si>
    <t>F26P11</t>
  </si>
  <si>
    <t>F26P12</t>
  </si>
  <si>
    <t>Non-Working</t>
  </si>
  <si>
    <t>From DD Fund</t>
  </si>
  <si>
    <t>2026 Plan</t>
  </si>
  <si>
    <t>[Working examples]</t>
  </si>
  <si>
    <t>3rd Party Delivery in 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</si>
</sst>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_);[Red]_(* \(#,##0\);_(* &quot;-&quot;_)"/>
    <numFmt numFmtId="167" formatCode="_(&quot;$&quot;* #,##0_);_(&quot;$&quot;* \(#,##0\);_(&quot;$&quot;* &quot;-&quot;??_);_(@_)"/>
    <numFmt numFmtId="168" formatCode="_(* #,##0.00_);[Red]_(* \(#,##0.00\);_(* &quot;-&quot;_)"/>
    <numFmt numFmtId="169" formatCode="_(* #,##0.0_);[Red]_(* \(#,##0.0\);_(* &quot;-&quot;_)"/>
  </numFmts>
  <fonts count="19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charset val="129"/>
      <scheme val="minor"/>
    </font>
    <font>
      <sz val="11"/>
      <color theme="0"/>
      <name val="Calibri"/>
      <family val="2"/>
      <charset val="129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dotted">
        <color auto="1"/>
      </bottom>
      <diagonal/>
    </border>
    <border>
      <left/>
      <right/>
      <top style="dotted">
        <color auto="1"/>
      </top>
      <bottom style="hair">
        <color auto="1"/>
      </bottom>
      <diagonal/>
    </border>
  </borders>
  <cellStyleXfs count="22">
    <xf numFmtId="0" fontId="0" fillId="0" borderId="0">
      <alignment vertical="center"/>
    </xf>
    <xf numFmtId="0" fontId="8" fillId="0" borderId="0"/>
    <xf numFmtId="43" fontId="11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>
      <alignment vertical="center"/>
    </xf>
    <xf numFmtId="0" fontId="4" fillId="0" borderId="0"/>
    <xf numFmtId="43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177">
    <xf numFmtId="0" fontId="0" fillId="0" borderId="0" xfId="0">
      <alignment vertical="center"/>
    </xf>
    <xf numFmtId="0" fontId="8" fillId="2" borderId="0" xfId="1" applyFill="1"/>
    <xf numFmtId="0" fontId="8" fillId="0" borderId="0" xfId="3"/>
    <xf numFmtId="0" fontId="8" fillId="0" borderId="0" xfId="3" applyAlignment="1">
      <alignment horizontal="left"/>
    </xf>
    <xf numFmtId="0" fontId="0" fillId="0" borderId="0" xfId="0" applyAlignment="1"/>
    <xf numFmtId="0" fontId="0" fillId="0" borderId="0" xfId="0" applyAlignment="1">
      <alignment horizontal="left" vertical="center"/>
    </xf>
    <xf numFmtId="0" fontId="8" fillId="2" borderId="0" xfId="1" applyFill="1" applyAlignment="1">
      <alignment horizontal="left"/>
    </xf>
    <xf numFmtId="0" fontId="7" fillId="0" borderId="0" xfId="3" applyFont="1"/>
    <xf numFmtId="0" fontId="7" fillId="2" borderId="0" xfId="1" applyFont="1" applyFill="1" applyAlignment="1">
      <alignment horizontal="left"/>
    </xf>
    <xf numFmtId="0" fontId="7" fillId="2" borderId="0" xfId="1" applyFont="1" applyFill="1"/>
    <xf numFmtId="0" fontId="8" fillId="0" borderId="0" xfId="1"/>
    <xf numFmtId="165" fontId="0" fillId="0" borderId="0" xfId="4" applyNumberFormat="1" applyFont="1" applyFill="1"/>
    <xf numFmtId="166" fontId="8" fillId="2" borderId="0" xfId="1" applyNumberFormat="1" applyFill="1"/>
    <xf numFmtId="165" fontId="0" fillId="0" borderId="0" xfId="4" applyNumberFormat="1" applyFont="1" applyFill="1" applyBorder="1"/>
    <xf numFmtId="0" fontId="8" fillId="0" borderId="1" xfId="3" applyBorder="1"/>
    <xf numFmtId="0" fontId="0" fillId="0" borderId="1" xfId="0" applyBorder="1" applyAlignment="1">
      <alignment horizontal="left" vertical="center"/>
    </xf>
    <xf numFmtId="166" fontId="8" fillId="2" borderId="1" xfId="1" applyNumberFormat="1" applyFill="1" applyBorder="1"/>
    <xf numFmtId="0" fontId="8" fillId="0" borderId="1" xfId="1" applyBorder="1"/>
    <xf numFmtId="0" fontId="10" fillId="4" borderId="0" xfId="1" applyFont="1" applyFill="1" applyAlignment="1">
      <alignment horizontal="left"/>
    </xf>
    <xf numFmtId="0" fontId="10" fillId="4" borderId="0" xfId="1" applyFont="1" applyFill="1"/>
    <xf numFmtId="0" fontId="10" fillId="0" borderId="0" xfId="1" applyFont="1"/>
    <xf numFmtId="166" fontId="10" fillId="4" borderId="0" xfId="8" applyNumberFormat="1" applyFont="1" applyFill="1"/>
    <xf numFmtId="166" fontId="10" fillId="4" borderId="0" xfId="1" applyNumberFormat="1" applyFont="1" applyFill="1"/>
    <xf numFmtId="0" fontId="0" fillId="0" borderId="0" xfId="0" applyAlignment="1">
      <alignment horizontal="right"/>
    </xf>
    <xf numFmtId="0" fontId="8" fillId="2" borderId="1" xfId="1" applyFill="1" applyBorder="1"/>
    <xf numFmtId="0" fontId="7" fillId="0" borderId="1" xfId="3" applyFont="1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7" fillId="0" borderId="0" xfId="3" applyFont="1" applyAlignment="1">
      <alignment horizontal="left"/>
    </xf>
    <xf numFmtId="0" fontId="6" fillId="0" borderId="0" xfId="3" applyFont="1" applyAlignment="1">
      <alignment horizontal="left"/>
    </xf>
    <xf numFmtId="0" fontId="10" fillId="0" borderId="0" xfId="0" applyFont="1">
      <alignment vertical="center"/>
    </xf>
    <xf numFmtId="0" fontId="0" fillId="0" borderId="1" xfId="0" applyBorder="1" applyAlignment="1"/>
    <xf numFmtId="166" fontId="10" fillId="0" borderId="0" xfId="8" applyNumberFormat="1" applyFont="1" applyFill="1"/>
    <xf numFmtId="0" fontId="5" fillId="2" borderId="0" xfId="1" applyFont="1" applyFill="1"/>
    <xf numFmtId="0" fontId="8" fillId="0" borderId="2" xfId="3" applyBorder="1"/>
    <xf numFmtId="0" fontId="0" fillId="0" borderId="2" xfId="0" applyBorder="1" applyAlignment="1">
      <alignment horizontal="left" vertical="center"/>
    </xf>
    <xf numFmtId="0" fontId="8" fillId="0" borderId="2" xfId="1" applyBorder="1"/>
    <xf numFmtId="166" fontId="8" fillId="2" borderId="2" xfId="1" applyNumberFormat="1" applyFill="1" applyBorder="1"/>
    <xf numFmtId="0" fontId="8" fillId="2" borderId="2" xfId="1" applyFill="1" applyBorder="1"/>
    <xf numFmtId="0" fontId="0" fillId="0" borderId="0" xfId="0" applyAlignment="1">
      <alignment horizontal="center" vertical="center"/>
    </xf>
    <xf numFmtId="40" fontId="0" fillId="0" borderId="0" xfId="0" applyNumberFormat="1">
      <alignment vertical="center"/>
    </xf>
    <xf numFmtId="167" fontId="0" fillId="0" borderId="0" xfId="12" applyNumberFormat="1" applyFont="1"/>
    <xf numFmtId="166" fontId="10" fillId="4" borderId="0" xfId="11" applyNumberFormat="1" applyFont="1" applyFill="1"/>
    <xf numFmtId="0" fontId="12" fillId="0" borderId="0" xfId="9" applyAlignment="1">
      <alignment horizontal="left" vertical="center"/>
    </xf>
    <xf numFmtId="166" fontId="10" fillId="0" borderId="0" xfId="11" applyNumberFormat="1" applyFont="1" applyFill="1"/>
    <xf numFmtId="0" fontId="15" fillId="6" borderId="0" xfId="0" applyFont="1" applyFill="1" applyAlignment="1">
      <alignment horizontal="center" vertical="center"/>
    </xf>
    <xf numFmtId="0" fontId="0" fillId="0" borderId="3" xfId="0" applyBorder="1">
      <alignment vertical="center"/>
    </xf>
    <xf numFmtId="40" fontId="0" fillId="0" borderId="3" xfId="0" applyNumberFormat="1" applyBorder="1">
      <alignment vertical="center"/>
    </xf>
    <xf numFmtId="0" fontId="2" fillId="0" borderId="0" xfId="3" applyFont="1"/>
    <xf numFmtId="0" fontId="1" fillId="2" borderId="0" xfId="19" applyFill="1"/>
    <xf numFmtId="0" fontId="1" fillId="0" borderId="0" xfId="19"/>
    <xf numFmtId="43" fontId="1" fillId="2" borderId="0" xfId="11" applyFont="1" applyFill="1"/>
    <xf numFmtId="0" fontId="9" fillId="3" borderId="0" xfId="19" applyFont="1" applyFill="1" applyAlignment="1">
      <alignment horizontal="center" vertical="center"/>
    </xf>
    <xf numFmtId="0" fontId="9" fillId="3" borderId="0" xfId="19" applyFont="1" applyFill="1" applyAlignment="1">
      <alignment vertical="center"/>
    </xf>
    <xf numFmtId="0" fontId="9" fillId="5" borderId="0" xfId="19" applyFont="1" applyFill="1" applyAlignment="1">
      <alignment horizontal="center" vertical="center"/>
    </xf>
    <xf numFmtId="0" fontId="1" fillId="2" borderId="0" xfId="19" applyFill="1" applyAlignment="1">
      <alignment horizontal="center"/>
    </xf>
    <xf numFmtId="0" fontId="1" fillId="2" borderId="0" xfId="19" applyFill="1" applyAlignment="1">
      <alignment horizontal="left"/>
    </xf>
    <xf numFmtId="166" fontId="1" fillId="2" borderId="0" xfId="11" applyNumberFormat="1" applyFont="1" applyFill="1"/>
    <xf numFmtId="166" fontId="1" fillId="0" borderId="0" xfId="19" applyNumberFormat="1"/>
    <xf numFmtId="166" fontId="1" fillId="2" borderId="0" xfId="19" applyNumberFormat="1" applyFill="1"/>
    <xf numFmtId="0" fontId="10" fillId="4" borderId="0" xfId="19" applyFont="1" applyFill="1" applyAlignment="1">
      <alignment horizontal="left"/>
    </xf>
    <xf numFmtId="0" fontId="10" fillId="4" borderId="0" xfId="19" applyFont="1" applyFill="1"/>
    <xf numFmtId="0" fontId="10" fillId="0" borderId="0" xfId="19" applyFont="1"/>
    <xf numFmtId="166" fontId="10" fillId="0" borderId="0" xfId="19" applyNumberFormat="1" applyFont="1"/>
    <xf numFmtId="166" fontId="10" fillId="4" borderId="0" xfId="19" applyNumberFormat="1" applyFont="1" applyFill="1"/>
    <xf numFmtId="0" fontId="1" fillId="0" borderId="0" xfId="20"/>
    <xf numFmtId="0" fontId="0" fillId="0" borderId="0" xfId="20" applyFont="1"/>
    <xf numFmtId="165" fontId="0" fillId="0" borderId="0" xfId="21" applyNumberFormat="1" applyFont="1" applyFill="1" applyBorder="1"/>
    <xf numFmtId="166" fontId="0" fillId="0" borderId="0" xfId="21" applyNumberFormat="1" applyFont="1" applyFill="1" applyBorder="1"/>
    <xf numFmtId="0" fontId="1" fillId="0" borderId="1" xfId="20" applyBorder="1"/>
    <xf numFmtId="0" fontId="0" fillId="0" borderId="1" xfId="20" applyFont="1" applyBorder="1"/>
    <xf numFmtId="165" fontId="0" fillId="0" borderId="1" xfId="21" applyNumberFormat="1" applyFont="1" applyFill="1" applyBorder="1"/>
    <xf numFmtId="166" fontId="1" fillId="2" borderId="1" xfId="19" applyNumberFormat="1" applyFill="1" applyBorder="1"/>
    <xf numFmtId="166" fontId="1" fillId="0" borderId="1" xfId="19" applyNumberFormat="1" applyBorder="1"/>
    <xf numFmtId="0" fontId="1" fillId="2" borderId="1" xfId="19" applyFill="1" applyBorder="1"/>
    <xf numFmtId="0" fontId="1" fillId="0" borderId="1" xfId="19" applyBorder="1"/>
    <xf numFmtId="0" fontId="16" fillId="0" borderId="1" xfId="20" applyFont="1" applyBorder="1"/>
    <xf numFmtId="168" fontId="10" fillId="4" borderId="0" xfId="19" applyNumberFormat="1" applyFont="1" applyFill="1"/>
    <xf numFmtId="168" fontId="1" fillId="2" borderId="0" xfId="11" applyNumberFormat="1" applyFont="1" applyFill="1"/>
    <xf numFmtId="164" fontId="1" fillId="2" borderId="0" xfId="11" applyNumberFormat="1" applyFont="1" applyFill="1"/>
    <xf numFmtId="43" fontId="0" fillId="2" borderId="0" xfId="11" applyFont="1" applyFill="1"/>
    <xf numFmtId="3" fontId="1" fillId="2" borderId="0" xfId="19" applyNumberFormat="1" applyFill="1"/>
    <xf numFmtId="4" fontId="18" fillId="0" borderId="0" xfId="20" applyNumberFormat="1" applyFont="1"/>
    <xf numFmtId="43" fontId="1" fillId="2" borderId="0" xfId="8" applyFont="1" applyFill="1"/>
    <xf numFmtId="166" fontId="1" fillId="2" borderId="0" xfId="8" applyNumberFormat="1" applyFont="1" applyFill="1"/>
    <xf numFmtId="165" fontId="0" fillId="0" borderId="0" xfId="21" applyNumberFormat="1" applyFont="1" applyFill="1"/>
    <xf numFmtId="0" fontId="1" fillId="0" borderId="0" xfId="20" applyAlignment="1">
      <alignment horizontal="left"/>
    </xf>
    <xf numFmtId="0" fontId="1" fillId="0" borderId="0" xfId="0" applyFont="1" applyAlignment="1">
      <alignment horizontal="left"/>
    </xf>
    <xf numFmtId="0" fontId="1" fillId="0" borderId="4" xfId="20" applyBorder="1"/>
    <xf numFmtId="0" fontId="0" fillId="0" borderId="4" xfId="0" applyBorder="1" applyAlignment="1">
      <alignment horizontal="left" vertical="center"/>
    </xf>
    <xf numFmtId="0" fontId="1" fillId="0" borderId="4" xfId="19" applyBorder="1"/>
    <xf numFmtId="166" fontId="1" fillId="2" borderId="4" xfId="19" applyNumberFormat="1" applyFill="1" applyBorder="1"/>
    <xf numFmtId="166" fontId="1" fillId="0" borderId="4" xfId="19" applyNumberFormat="1" applyBorder="1"/>
    <xf numFmtId="0" fontId="0" fillId="0" borderId="4" xfId="0" applyBorder="1" applyAlignment="1"/>
    <xf numFmtId="169" fontId="1" fillId="2" borderId="0" xfId="8" applyNumberFormat="1" applyFont="1" applyFill="1"/>
    <xf numFmtId="168" fontId="1" fillId="2" borderId="0" xfId="8" applyNumberFormat="1" applyFont="1" applyFill="1"/>
    <xf numFmtId="164" fontId="1" fillId="2" borderId="0" xfId="8" applyNumberFormat="1" applyFont="1" applyFill="1" applyAlignment="1">
      <alignment horizontal="center"/>
    </xf>
    <xf numFmtId="164" fontId="10" fillId="4" borderId="0" xfId="8" applyNumberFormat="1" applyFont="1" applyFill="1"/>
    <xf numFmtId="164" fontId="1" fillId="2" borderId="0" xfId="8" applyNumberFormat="1" applyFont="1" applyFill="1"/>
    <xf numFmtId="43" fontId="13" fillId="2" borderId="0" xfId="8" applyFont="1" applyFill="1"/>
    <xf numFmtId="166" fontId="9" fillId="3" borderId="0" xfId="19" applyNumberFormat="1" applyFont="1" applyFill="1" applyAlignment="1">
      <alignment horizontal="center" vertical="center"/>
    </xf>
    <xf numFmtId="0" fontId="10" fillId="4" borderId="0" xfId="19" applyFont="1" applyFill="1" applyAlignment="1">
      <alignment horizontal="center"/>
    </xf>
    <xf numFmtId="0" fontId="1" fillId="0" borderId="0" xfId="20" applyAlignment="1">
      <alignment horizontal="center"/>
    </xf>
    <xf numFmtId="0" fontId="0" fillId="0" borderId="0" xfId="20" applyFont="1" applyAlignment="1">
      <alignment horizontal="center"/>
    </xf>
    <xf numFmtId="0" fontId="1" fillId="0" borderId="1" xfId="20" applyBorder="1" applyAlignment="1">
      <alignment horizontal="center"/>
    </xf>
    <xf numFmtId="0" fontId="16" fillId="0" borderId="1" xfId="20" applyFont="1" applyBorder="1" applyAlignment="1">
      <alignment horizontal="center"/>
    </xf>
    <xf numFmtId="0" fontId="12" fillId="0" borderId="0" xfId="9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7" fillId="0" borderId="0" xfId="20" applyFont="1" applyAlignment="1">
      <alignment horizontal="left"/>
    </xf>
    <xf numFmtId="0" fontId="1" fillId="2" borderId="0" xfId="19" applyFill="1" applyBorder="1"/>
    <xf numFmtId="0" fontId="1" fillId="2" borderId="0" xfId="19" applyFill="1" applyBorder="1" applyAlignment="1">
      <alignment wrapText="1"/>
    </xf>
    <xf numFmtId="0" fontId="1" fillId="0" borderId="0" xfId="19" applyBorder="1"/>
    <xf numFmtId="0" fontId="16" fillId="2" borderId="0" xfId="19" applyFont="1" applyFill="1" applyBorder="1"/>
    <xf numFmtId="43" fontId="1" fillId="2" borderId="0" xfId="8" applyFont="1" applyFill="1" applyBorder="1"/>
    <xf numFmtId="166" fontId="1" fillId="2" borderId="0" xfId="19" applyNumberFormat="1" applyFill="1" applyBorder="1"/>
    <xf numFmtId="0" fontId="8" fillId="2" borderId="0" xfId="1" applyFill="1" applyBorder="1"/>
    <xf numFmtId="0" fontId="8" fillId="0" borderId="0" xfId="1" applyBorder="1"/>
    <xf numFmtId="0" fontId="8" fillId="0" borderId="0" xfId="3" applyBorder="1"/>
    <xf numFmtId="0" fontId="0" fillId="0" borderId="0" xfId="0" applyBorder="1" applyAlignment="1">
      <alignment horizontal="left" vertical="center"/>
    </xf>
    <xf numFmtId="166" fontId="8" fillId="2" borderId="0" xfId="1" applyNumberFormat="1" applyFill="1" applyBorder="1"/>
    <xf numFmtId="0" fontId="7" fillId="0" borderId="0" xfId="3" applyFont="1" applyBorder="1"/>
    <xf numFmtId="0" fontId="0" fillId="0" borderId="0" xfId="0" applyBorder="1" applyAlignment="1">
      <alignment horizontal="left"/>
    </xf>
    <xf numFmtId="0" fontId="0" fillId="0" borderId="0" xfId="0" applyBorder="1" applyAlignment="1"/>
    <xf numFmtId="0" fontId="8" fillId="0" borderId="4" xfId="3" applyBorder="1"/>
    <xf numFmtId="0" fontId="8" fillId="0" borderId="4" xfId="1" applyBorder="1"/>
    <xf numFmtId="166" fontId="8" fillId="2" borderId="4" xfId="1" applyNumberFormat="1" applyFill="1" applyBorder="1"/>
    <xf numFmtId="0" fontId="0" fillId="0" borderId="4" xfId="0" applyBorder="1" applyAlignment="1">
      <alignment horizontal="left"/>
    </xf>
    <xf numFmtId="0" fontId="8" fillId="2" borderId="0" xfId="1" applyFill="1" applyAlignment="1">
      <alignment horizontal="center"/>
    </xf>
    <xf numFmtId="0" fontId="5" fillId="2" borderId="0" xfId="1" applyFont="1" applyFill="1" applyAlignment="1">
      <alignment horizontal="center"/>
    </xf>
    <xf numFmtId="0" fontId="10" fillId="4" borderId="0" xfId="1" applyFont="1" applyFill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6" fillId="0" borderId="0" xfId="3" applyFont="1" applyAlignment="1">
      <alignment horizontal="center"/>
    </xf>
    <xf numFmtId="0" fontId="8" fillId="0" borderId="0" xfId="3" applyAlignment="1">
      <alignment horizontal="center"/>
    </xf>
    <xf numFmtId="165" fontId="0" fillId="0" borderId="4" xfId="4" applyNumberFormat="1" applyFont="1" applyFill="1" applyBorder="1"/>
    <xf numFmtId="0" fontId="8" fillId="0" borderId="0" xfId="3" applyBorder="1" applyAlignment="1">
      <alignment horizontal="left"/>
    </xf>
    <xf numFmtId="0" fontId="8" fillId="0" borderId="1" xfId="3" applyBorder="1" applyAlignment="1">
      <alignment horizontal="left"/>
    </xf>
    <xf numFmtId="165" fontId="0" fillId="0" borderId="1" xfId="4" applyNumberFormat="1" applyFont="1" applyFill="1" applyBorder="1"/>
    <xf numFmtId="0" fontId="0" fillId="0" borderId="6" xfId="0" applyBorder="1" applyAlignment="1"/>
    <xf numFmtId="0" fontId="0" fillId="0" borderId="6" xfId="0" applyBorder="1" applyAlignment="1">
      <alignment horizontal="left" vertical="center"/>
    </xf>
    <xf numFmtId="0" fontId="8" fillId="0" borderId="6" xfId="1" applyBorder="1"/>
    <xf numFmtId="166" fontId="8" fillId="2" borderId="6" xfId="1" applyNumberFormat="1" applyFill="1" applyBorder="1"/>
    <xf numFmtId="0" fontId="7" fillId="0" borderId="0" xfId="3" applyFont="1" applyBorder="1" applyAlignment="1">
      <alignment horizontal="left"/>
    </xf>
    <xf numFmtId="0" fontId="6" fillId="0" borderId="0" xfId="3" applyFont="1" applyBorder="1" applyAlignment="1">
      <alignment horizontal="left"/>
    </xf>
    <xf numFmtId="0" fontId="6" fillId="0" borderId="1" xfId="3" applyFont="1" applyBorder="1" applyAlignment="1">
      <alignment horizontal="left"/>
    </xf>
    <xf numFmtId="0" fontId="8" fillId="0" borderId="7" xfId="3" applyBorder="1"/>
    <xf numFmtId="0" fontId="0" fillId="0" borderId="7" xfId="0" applyBorder="1" applyAlignment="1">
      <alignment horizontal="left" vertical="center"/>
    </xf>
    <xf numFmtId="0" fontId="8" fillId="0" borderId="7" xfId="1" applyBorder="1"/>
    <xf numFmtId="166" fontId="8" fillId="2" borderId="7" xfId="1" applyNumberFormat="1" applyFill="1" applyBorder="1"/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6" fillId="0" borderId="0" xfId="3" applyFont="1" applyBorder="1" applyAlignment="1">
      <alignment horizontal="center"/>
    </xf>
    <xf numFmtId="0" fontId="6" fillId="0" borderId="1" xfId="3" applyFont="1" applyBorder="1" applyAlignment="1">
      <alignment horizontal="center"/>
    </xf>
    <xf numFmtId="0" fontId="8" fillId="0" borderId="0" xfId="3" applyBorder="1" applyAlignment="1">
      <alignment horizontal="center"/>
    </xf>
    <xf numFmtId="0" fontId="8" fillId="0" borderId="1" xfId="3" applyBorder="1" applyAlignment="1">
      <alignment horizontal="center"/>
    </xf>
    <xf numFmtId="0" fontId="8" fillId="2" borderId="0" xfId="1" applyFill="1" applyBorder="1" applyAlignment="1">
      <alignment horizontal="center"/>
    </xf>
    <xf numFmtId="0" fontId="1" fillId="2" borderId="5" xfId="19" applyFill="1" applyBorder="1" applyAlignment="1">
      <alignment horizontal="left"/>
    </xf>
    <xf numFmtId="166" fontId="0" fillId="0" borderId="5" xfId="21" applyNumberFormat="1" applyFont="1" applyFill="1" applyBorder="1"/>
    <xf numFmtId="166" fontId="1" fillId="2" borderId="5" xfId="19" applyNumberFormat="1" applyFill="1" applyBorder="1"/>
    <xf numFmtId="0" fontId="1" fillId="2" borderId="4" xfId="19" applyFill="1" applyBorder="1" applyAlignment="1">
      <alignment horizontal="left"/>
    </xf>
    <xf numFmtId="0" fontId="1" fillId="2" borderId="0" xfId="19" applyFill="1" applyBorder="1" applyAlignment="1">
      <alignment horizontal="left"/>
    </xf>
    <xf numFmtId="166" fontId="1" fillId="0" borderId="0" xfId="19" applyNumberFormat="1" applyBorder="1"/>
    <xf numFmtId="0" fontId="1" fillId="2" borderId="1" xfId="19" applyFill="1" applyBorder="1" applyAlignment="1">
      <alignment horizontal="left"/>
    </xf>
    <xf numFmtId="166" fontId="1" fillId="0" borderId="5" xfId="19" applyNumberFormat="1" applyBorder="1"/>
    <xf numFmtId="166" fontId="0" fillId="0" borderId="4" xfId="21" applyNumberFormat="1" applyFont="1" applyFill="1" applyBorder="1"/>
    <xf numFmtId="0" fontId="1" fillId="2" borderId="5" xfId="19" applyFill="1" applyBorder="1" applyAlignment="1">
      <alignment horizontal="center"/>
    </xf>
    <xf numFmtId="0" fontId="1" fillId="2" borderId="4" xfId="19" applyFill="1" applyBorder="1" applyAlignment="1">
      <alignment horizontal="center"/>
    </xf>
    <xf numFmtId="0" fontId="1" fillId="2" borderId="0" xfId="19" applyFill="1" applyBorder="1" applyAlignment="1">
      <alignment horizontal="center"/>
    </xf>
    <xf numFmtId="0" fontId="1" fillId="2" borderId="1" xfId="19" applyFill="1" applyBorder="1" applyAlignment="1">
      <alignment horizontal="center"/>
    </xf>
    <xf numFmtId="0" fontId="0" fillId="0" borderId="0" xfId="0" applyAlignment="1">
      <alignment horizontal="left" vertical="center" indent="1"/>
    </xf>
    <xf numFmtId="0" fontId="0" fillId="7" borderId="0" xfId="0" applyFill="1">
      <alignment vertical="center"/>
    </xf>
    <xf numFmtId="40" fontId="0" fillId="7" borderId="0" xfId="0" applyNumberFormat="1" applyFill="1">
      <alignment vertical="center"/>
    </xf>
    <xf numFmtId="0" fontId="9" fillId="3" borderId="0" xfId="19" applyFont="1" applyFill="1" applyAlignment="1">
      <alignment horizontal="center" vertical="center"/>
    </xf>
    <xf numFmtId="166" fontId="9" fillId="3" borderId="0" xfId="19" applyNumberFormat="1" applyFont="1" applyFill="1" applyAlignment="1">
      <alignment horizontal="center" vertical="center"/>
    </xf>
    <xf numFmtId="0" fontId="9" fillId="5" borderId="0" xfId="19" applyFont="1" applyFill="1" applyAlignment="1">
      <alignment horizontal="center" vertical="center"/>
    </xf>
  </cellXfs>
  <cellStyles count="22">
    <cellStyle name="Comma" xfId="8" builtinId="3"/>
    <cellStyle name="Comma 2" xfId="7" xr:uid="{DD403BAB-23E1-4D0B-92F0-FF5ABFFCF84F}"/>
    <cellStyle name="Comma 2 2" xfId="11" xr:uid="{A84D6310-D297-48E4-B363-82E0D81F5E3A}"/>
    <cellStyle name="Comma 3" xfId="18" xr:uid="{4D0124B3-3F65-4A40-8740-A64970286FBF}"/>
    <cellStyle name="Currency 2" xfId="5" xr:uid="{F81AABFF-EEFE-4B16-864D-9E462581C102}"/>
    <cellStyle name="Currency 2 2" xfId="12" xr:uid="{7D86E8BE-403C-4285-8E4B-092796EAD361}"/>
    <cellStyle name="Normal" xfId="0" builtinId="0"/>
    <cellStyle name="Normal 2" xfId="3" xr:uid="{B01CAF8F-9D39-4BA0-8142-D94801DB1137}"/>
    <cellStyle name="Normal 2 2" xfId="13" xr:uid="{0B20EC84-FADB-418D-B044-360D0E8C89E6}"/>
    <cellStyle name="Normal 2 3" xfId="16" xr:uid="{14DE65F8-3A27-4802-A07C-E51C176C91FF}"/>
    <cellStyle name="Normal 2 4" xfId="20" xr:uid="{051CFF91-2F81-4EC2-819B-09A0B1E1C321}"/>
    <cellStyle name="Normal 3" xfId="9" xr:uid="{6E1484DC-BC0C-47C5-971F-9457EC0F83D1}"/>
    <cellStyle name="Percent 2" xfId="6" xr:uid="{C85191A3-4C85-45B5-AD32-F940A7B461D5}"/>
    <cellStyle name="백분율 2" xfId="4" xr:uid="{CEB53297-49B8-4F73-B3AB-457C8C854F01}"/>
    <cellStyle name="백분율 2 2" xfId="14" xr:uid="{30192E77-AE61-4E8E-A104-DA3034EDE83E}"/>
    <cellStyle name="백분율 2 3" xfId="17" xr:uid="{54FB1B64-BAA8-4B0C-9DE0-0C7EBE55A3ED}"/>
    <cellStyle name="백분율 2 4" xfId="21" xr:uid="{522520E6-5492-4874-902B-7F2E29959326}"/>
    <cellStyle name="쉼표 2" xfId="2" xr:uid="{462DC62F-7539-4C1E-A8CD-A115A880A4F8}"/>
    <cellStyle name="표준 2 2" xfId="1" xr:uid="{694DCC17-0527-48A3-8104-5A99E858AD0C}"/>
    <cellStyle name="표준 2 2 2" xfId="10" xr:uid="{EB31BC02-F167-4777-82A2-670C870E36B1}"/>
    <cellStyle name="표준 2 2 3" xfId="15" xr:uid="{D01A90E8-BB03-41A7-A565-2D20344E8BC7}"/>
    <cellStyle name="표준 2 2 4" xfId="19" xr:uid="{E78722D7-431A-4216-891B-F497130C58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44C7D-5AB9-4CF3-BCFD-3B733A554731}">
  <dimension ref="B3:G21"/>
  <sheetViews>
    <sheetView showGridLines="0" tabSelected="1" workbookViewId="0"/>
  </sheetViews>
  <sheetFormatPr defaultRowHeight="14"/>
  <cols>
    <col min="1" max="1" width="2.09765625" customWidth="1"/>
    <col min="2" max="2" width="25.8984375" customWidth="1"/>
    <col min="3" max="5" width="23.19921875" bestFit="1" customWidth="1"/>
    <col min="6" max="7" width="23.8984375" customWidth="1"/>
    <col min="9" max="9" width="28.09765625" customWidth="1"/>
  </cols>
  <sheetData>
    <row r="3" spans="2:7" s="39" customFormat="1">
      <c r="B3" s="45"/>
      <c r="C3" s="45">
        <v>2022</v>
      </c>
      <c r="D3" s="45">
        <v>2023</v>
      </c>
      <c r="E3" s="45">
        <v>2024</v>
      </c>
      <c r="F3" s="45">
        <v>2025</v>
      </c>
      <c r="G3" s="45" t="s">
        <v>377</v>
      </c>
    </row>
    <row r="4" spans="2:7">
      <c r="B4" t="s">
        <v>209</v>
      </c>
      <c r="C4" s="40">
        <f>-'Marketing Fund 2022'!T108</f>
        <v>990072.61</v>
      </c>
      <c r="D4" s="40">
        <f>-'Marketing Fund 2023'!T108</f>
        <v>1572569.28</v>
      </c>
      <c r="E4" s="40">
        <f>-'Marketing Fund 2024'!T108</f>
        <v>1512356.06</v>
      </c>
      <c r="F4" s="40">
        <f>-'Marketing Fund 2025'!T107</f>
        <v>3285202.0300000003</v>
      </c>
      <c r="G4" s="40">
        <f>-'Marketing Fund 2026 Plan'!T108</f>
        <v>3846000</v>
      </c>
    </row>
    <row r="5" spans="2:7">
      <c r="B5" s="46" t="s">
        <v>210</v>
      </c>
      <c r="C5" s="47">
        <f>-'Marketing Fund 2022'!T109</f>
        <v>1373816.2500000002</v>
      </c>
      <c r="D5" s="47">
        <f>-'Marketing Fund 2023'!T109</f>
        <v>1611095.5</v>
      </c>
      <c r="E5" s="47">
        <f>-'Marketing Fund 2024'!T109</f>
        <v>2111103.8600000003</v>
      </c>
      <c r="F5" s="47">
        <f>-'Marketing Fund 2025'!T108</f>
        <v>1709340.4500000002</v>
      </c>
      <c r="G5" s="47">
        <f>-'Marketing Fund 2026 Plan'!T109</f>
        <v>2360141</v>
      </c>
    </row>
    <row r="6" spans="2:7">
      <c r="B6" t="s">
        <v>211</v>
      </c>
      <c r="C6" s="40">
        <f>C4+C5</f>
        <v>2363888.8600000003</v>
      </c>
      <c r="D6" s="40">
        <f t="shared" ref="D6:G6" si="0">D4+D5</f>
        <v>3183664.7800000003</v>
      </c>
      <c r="E6" s="40">
        <f t="shared" si="0"/>
        <v>3623459.9200000004</v>
      </c>
      <c r="F6" s="40">
        <f t="shared" si="0"/>
        <v>4994542.4800000004</v>
      </c>
      <c r="G6" s="40">
        <f t="shared" si="0"/>
        <v>6206141</v>
      </c>
    </row>
    <row r="9" spans="2:7">
      <c r="B9" s="172" t="s">
        <v>379</v>
      </c>
      <c r="C9" s="173">
        <f>-'Marketing Fund 2022'!T111</f>
        <v>230660.5</v>
      </c>
      <c r="D9" s="173">
        <f>-'Marketing Fund 2023'!T111</f>
        <v>212987.02</v>
      </c>
      <c r="E9" s="173">
        <f>-'Marketing Fund 2024'!T111</f>
        <v>396833.13</v>
      </c>
      <c r="F9" s="173">
        <f>-'Marketing Fund 2025'!T110</f>
        <v>1241694.1099999999</v>
      </c>
      <c r="G9" s="173">
        <f>-'Marketing Fund 2026 Plan'!T111</f>
        <v>1494000</v>
      </c>
    </row>
    <row r="13" spans="2:7">
      <c r="B13" s="30" t="s">
        <v>378</v>
      </c>
    </row>
    <row r="14" spans="2:7">
      <c r="B14" s="171" t="s">
        <v>260</v>
      </c>
    </row>
    <row r="15" spans="2:7">
      <c r="B15" s="171" t="s">
        <v>261</v>
      </c>
    </row>
    <row r="16" spans="2:7">
      <c r="B16" s="171" t="s">
        <v>262</v>
      </c>
    </row>
    <row r="17" spans="2:2">
      <c r="B17" s="171" t="s">
        <v>263</v>
      </c>
    </row>
    <row r="18" spans="2:2">
      <c r="B18" s="171" t="s">
        <v>264</v>
      </c>
    </row>
    <row r="19" spans="2:2">
      <c r="B19" s="171" t="s">
        <v>265</v>
      </c>
    </row>
    <row r="20" spans="2:2">
      <c r="B20" s="171" t="s">
        <v>266</v>
      </c>
    </row>
    <row r="21" spans="2:2">
      <c r="B21" s="171" t="s">
        <v>267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C14BA-01F7-4580-8939-C62A8882ED65}">
  <dimension ref="A1:U111"/>
  <sheetViews>
    <sheetView showGridLines="0" zoomScale="85" zoomScaleNormal="85" workbookViewId="0">
      <pane xSplit="7" ySplit="7" topLeftCell="P68" activePane="bottomRight" state="frozen"/>
      <selection pane="topRight"/>
      <selection pane="bottomLeft"/>
      <selection pane="bottomRight"/>
    </sheetView>
  </sheetViews>
  <sheetFormatPr defaultColWidth="8.796875" defaultRowHeight="14"/>
  <cols>
    <col min="1" max="1" width="1.09765625" style="1" customWidth="1"/>
    <col min="2" max="2" width="26" style="1" customWidth="1"/>
    <col min="3" max="3" width="31.5" style="1" customWidth="1"/>
    <col min="4" max="4" width="11.69921875" style="1" customWidth="1"/>
    <col min="5" max="5" width="11.5" style="129" customWidth="1"/>
    <col min="6" max="6" width="18.69921875" style="1" customWidth="1"/>
    <col min="7" max="7" width="0.8984375" style="10" customWidth="1"/>
    <col min="8" max="8" width="11.69921875" style="1" customWidth="1"/>
    <col min="9" max="19" width="11.8984375" style="1" bestFit="1" customWidth="1"/>
    <col min="20" max="20" width="13.5" style="1" bestFit="1" customWidth="1"/>
    <col min="21" max="16384" width="8.796875" style="117"/>
  </cols>
  <sheetData>
    <row r="1" spans="2:20" ht="6.6" customHeight="1"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</row>
    <row r="2" spans="2:20" ht="10.75" customHeight="1">
      <c r="B2" s="174" t="s">
        <v>0</v>
      </c>
      <c r="C2" s="174" t="s">
        <v>47</v>
      </c>
      <c r="D2" s="174" t="s">
        <v>100</v>
      </c>
      <c r="E2" s="174" t="s">
        <v>53</v>
      </c>
      <c r="F2" s="174" t="s">
        <v>361</v>
      </c>
      <c r="H2" s="174" t="s">
        <v>51</v>
      </c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53"/>
    </row>
    <row r="3" spans="2:20" ht="10.75" customHeight="1">
      <c r="B3" s="174"/>
      <c r="C3" s="174"/>
      <c r="D3" s="174"/>
      <c r="E3" s="174"/>
      <c r="F3" s="174"/>
      <c r="H3" s="52" t="s">
        <v>281</v>
      </c>
      <c r="I3" s="52" t="s">
        <v>282</v>
      </c>
      <c r="J3" s="52" t="s">
        <v>283</v>
      </c>
      <c r="K3" s="52" t="s">
        <v>284</v>
      </c>
      <c r="L3" s="52" t="s">
        <v>285</v>
      </c>
      <c r="M3" s="52" t="s">
        <v>286</v>
      </c>
      <c r="N3" s="52" t="s">
        <v>287</v>
      </c>
      <c r="O3" s="52" t="s">
        <v>288</v>
      </c>
      <c r="P3" s="52" t="s">
        <v>289</v>
      </c>
      <c r="Q3" s="52" t="s">
        <v>290</v>
      </c>
      <c r="R3" s="52" t="s">
        <v>291</v>
      </c>
      <c r="S3" s="52" t="s">
        <v>292</v>
      </c>
      <c r="T3" s="52" t="s">
        <v>329</v>
      </c>
    </row>
    <row r="4" spans="2:20">
      <c r="B4" s="6" t="s">
        <v>1</v>
      </c>
      <c r="H4" s="12">
        <v>155849.88</v>
      </c>
      <c r="I4" s="12">
        <v>150573.56</v>
      </c>
      <c r="J4" s="12">
        <v>158146.31</v>
      </c>
      <c r="K4" s="12">
        <v>159719.32</v>
      </c>
      <c r="L4" s="12">
        <v>161044.4</v>
      </c>
      <c r="M4" s="12">
        <v>154535.51999999999</v>
      </c>
      <c r="N4" s="12">
        <v>169977.35</v>
      </c>
      <c r="O4" s="12">
        <v>164736.46</v>
      </c>
      <c r="P4" s="12">
        <v>240426.27</v>
      </c>
      <c r="Q4" s="12">
        <v>246885.45</v>
      </c>
      <c r="R4" s="12">
        <v>228289.87</v>
      </c>
      <c r="S4" s="12">
        <v>261922.63</v>
      </c>
      <c r="T4" s="12">
        <f>SUM(H4:S4)</f>
        <v>2252107.02</v>
      </c>
    </row>
    <row r="5" spans="2:20">
      <c r="B5" s="8" t="s">
        <v>48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2">
        <f t="shared" ref="T5:T6" si="0">SUM(H5:S5)</f>
        <v>0</v>
      </c>
    </row>
    <row r="6" spans="2:20">
      <c r="B6" s="8" t="s">
        <v>49</v>
      </c>
      <c r="E6" s="130"/>
      <c r="F6" s="33"/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58.41</v>
      </c>
      <c r="O6" s="12">
        <v>60.57</v>
      </c>
      <c r="P6" s="12">
        <v>49.23</v>
      </c>
      <c r="Q6" s="12">
        <v>61.67</v>
      </c>
      <c r="R6" s="12">
        <v>3180.22</v>
      </c>
      <c r="S6" s="12">
        <v>554.01</v>
      </c>
      <c r="T6" s="12">
        <f t="shared" si="0"/>
        <v>3964.1099999999997</v>
      </c>
    </row>
    <row r="7" spans="2:20">
      <c r="B7" s="18" t="s">
        <v>52</v>
      </c>
      <c r="C7" s="19"/>
      <c r="D7" s="19"/>
      <c r="E7" s="131"/>
      <c r="F7" s="19"/>
      <c r="G7" s="20"/>
      <c r="H7" s="21">
        <f t="shared" ref="H7:T7" si="1">SUM(H4:H6)</f>
        <v>155849.88</v>
      </c>
      <c r="I7" s="21">
        <f t="shared" si="1"/>
        <v>150573.56</v>
      </c>
      <c r="J7" s="21">
        <f t="shared" si="1"/>
        <v>158146.31</v>
      </c>
      <c r="K7" s="21">
        <f t="shared" si="1"/>
        <v>159719.32</v>
      </c>
      <c r="L7" s="21">
        <f t="shared" si="1"/>
        <v>161044.4</v>
      </c>
      <c r="M7" s="21">
        <f t="shared" si="1"/>
        <v>154535.51999999999</v>
      </c>
      <c r="N7" s="21">
        <f t="shared" si="1"/>
        <v>170035.76</v>
      </c>
      <c r="O7" s="21">
        <f t="shared" si="1"/>
        <v>164797.03</v>
      </c>
      <c r="P7" s="21">
        <f t="shared" si="1"/>
        <v>240475.5</v>
      </c>
      <c r="Q7" s="21">
        <f t="shared" si="1"/>
        <v>246947.12000000002</v>
      </c>
      <c r="R7" s="21">
        <f t="shared" si="1"/>
        <v>231470.09</v>
      </c>
      <c r="S7" s="21">
        <f t="shared" si="1"/>
        <v>262476.64</v>
      </c>
      <c r="T7" s="21">
        <f t="shared" si="1"/>
        <v>2256071.13</v>
      </c>
    </row>
    <row r="8" spans="2:20" ht="9" customHeight="1">
      <c r="B8" s="117"/>
      <c r="C8" s="117"/>
      <c r="D8" s="117"/>
      <c r="E8" s="157"/>
      <c r="F8" s="117"/>
      <c r="G8" s="118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 spans="2:20">
      <c r="B9" s="2" t="s">
        <v>39</v>
      </c>
      <c r="C9" s="5" t="s">
        <v>21</v>
      </c>
      <c r="D9" s="5"/>
      <c r="E9" s="39"/>
      <c r="F9" s="5"/>
      <c r="G9" s="11"/>
      <c r="H9" s="12">
        <v>0</v>
      </c>
      <c r="I9" s="12">
        <v>-4000</v>
      </c>
      <c r="J9" s="12">
        <v>-4000</v>
      </c>
      <c r="K9" s="12">
        <v>-4000</v>
      </c>
      <c r="L9" s="12">
        <v>-4000</v>
      </c>
      <c r="M9" s="12">
        <v>-4000</v>
      </c>
      <c r="N9" s="12">
        <v>-4000</v>
      </c>
      <c r="O9" s="12">
        <v>-4000</v>
      </c>
      <c r="P9" s="12">
        <v>-4000</v>
      </c>
      <c r="Q9" s="12">
        <v>-4000</v>
      </c>
      <c r="R9" s="12">
        <v>-4000</v>
      </c>
      <c r="S9" s="12">
        <v>-4000</v>
      </c>
      <c r="T9" s="12">
        <f t="shared" ref="T9:T21" si="2">SUM(H9:S9)</f>
        <v>-44000</v>
      </c>
    </row>
    <row r="10" spans="2:20">
      <c r="B10" s="4" t="s">
        <v>39</v>
      </c>
      <c r="C10" s="5" t="s">
        <v>11</v>
      </c>
      <c r="D10" s="5"/>
      <c r="E10" s="39"/>
      <c r="F10" s="5"/>
      <c r="G10" s="11"/>
      <c r="H10" s="12">
        <v>0</v>
      </c>
      <c r="I10" s="12">
        <v>-10000</v>
      </c>
      <c r="J10" s="12">
        <v>-10000</v>
      </c>
      <c r="K10" s="12">
        <v>-10000</v>
      </c>
      <c r="L10" s="12">
        <v>-10000</v>
      </c>
      <c r="M10" s="12">
        <v>-10000</v>
      </c>
      <c r="N10" s="12">
        <v>-10000</v>
      </c>
      <c r="O10" s="12">
        <v>-10000</v>
      </c>
      <c r="P10" s="12">
        <v>-10000</v>
      </c>
      <c r="Q10" s="12">
        <v>-10000</v>
      </c>
      <c r="R10" s="12">
        <v>-10000</v>
      </c>
      <c r="S10" s="12">
        <v>-10000</v>
      </c>
      <c r="T10" s="12">
        <f t="shared" si="2"/>
        <v>-110000</v>
      </c>
    </row>
    <row r="11" spans="2:20">
      <c r="B11" s="125" t="s">
        <v>10</v>
      </c>
      <c r="C11" s="93" t="s">
        <v>11</v>
      </c>
      <c r="D11" s="89"/>
      <c r="E11" s="108"/>
      <c r="F11" s="89"/>
      <c r="G11" s="126"/>
      <c r="H11" s="127">
        <v>0</v>
      </c>
      <c r="I11" s="127">
        <v>0</v>
      </c>
      <c r="J11" s="127">
        <v>-1530</v>
      </c>
      <c r="K11" s="127">
        <v>0</v>
      </c>
      <c r="L11" s="127">
        <v>0</v>
      </c>
      <c r="M11" s="127">
        <v>0</v>
      </c>
      <c r="N11" s="127">
        <v>0</v>
      </c>
      <c r="O11" s="127">
        <v>0</v>
      </c>
      <c r="P11" s="127">
        <v>0</v>
      </c>
      <c r="Q11" s="127">
        <v>0</v>
      </c>
      <c r="R11" s="127">
        <v>0</v>
      </c>
      <c r="S11" s="127">
        <v>0</v>
      </c>
      <c r="T11" s="127">
        <f t="shared" si="2"/>
        <v>-1530</v>
      </c>
    </row>
    <row r="12" spans="2:20">
      <c r="B12" s="14" t="s">
        <v>10</v>
      </c>
      <c r="C12" s="31" t="s">
        <v>150</v>
      </c>
      <c r="D12" s="15"/>
      <c r="E12" s="107"/>
      <c r="F12" s="15"/>
      <c r="G12" s="17"/>
      <c r="H12" s="16">
        <v>0</v>
      </c>
      <c r="I12" s="16">
        <v>-15500</v>
      </c>
      <c r="J12" s="16">
        <v>-15500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f t="shared" si="2"/>
        <v>-31000</v>
      </c>
    </row>
    <row r="13" spans="2:20">
      <c r="B13" s="2" t="s">
        <v>12</v>
      </c>
      <c r="C13" s="5" t="s">
        <v>13</v>
      </c>
      <c r="D13" s="5"/>
      <c r="E13" s="39"/>
      <c r="F13" s="5"/>
      <c r="G13" s="13"/>
      <c r="H13" s="12">
        <v>-1101.6100000000001</v>
      </c>
      <c r="I13" s="12">
        <v>-547.52</v>
      </c>
      <c r="J13" s="12">
        <v>-559.36</v>
      </c>
      <c r="K13" s="12">
        <v>-389.26</v>
      </c>
      <c r="L13" s="12">
        <v>-23523.86</v>
      </c>
      <c r="M13" s="12">
        <v>-3226.04</v>
      </c>
      <c r="N13" s="12">
        <v>-7548.66</v>
      </c>
      <c r="O13" s="12">
        <v>-1293.8499999999999</v>
      </c>
      <c r="P13" s="12">
        <v>-3472.58</v>
      </c>
      <c r="Q13" s="12">
        <v>-797.29</v>
      </c>
      <c r="R13" s="12">
        <v>-677.99</v>
      </c>
      <c r="S13" s="12">
        <v>-809.06999999999994</v>
      </c>
      <c r="T13" s="12">
        <f t="shared" si="2"/>
        <v>-43947.09</v>
      </c>
    </row>
    <row r="14" spans="2:20">
      <c r="B14" s="93" t="s">
        <v>87</v>
      </c>
      <c r="C14" s="93" t="s">
        <v>13</v>
      </c>
      <c r="D14" s="89"/>
      <c r="E14" s="108"/>
      <c r="F14" s="89"/>
      <c r="G14" s="126"/>
      <c r="H14" s="127">
        <v>0</v>
      </c>
      <c r="I14" s="127">
        <v>-634.14</v>
      </c>
      <c r="J14" s="127">
        <v>0</v>
      </c>
      <c r="K14" s="127">
        <v>0</v>
      </c>
      <c r="L14" s="127">
        <v>0</v>
      </c>
      <c r="M14" s="127">
        <v>0</v>
      </c>
      <c r="N14" s="127">
        <v>0</v>
      </c>
      <c r="O14" s="127">
        <v>0</v>
      </c>
      <c r="P14" s="127">
        <v>0</v>
      </c>
      <c r="Q14" s="127">
        <v>0</v>
      </c>
      <c r="R14" s="127">
        <v>0</v>
      </c>
      <c r="S14" s="127">
        <v>0</v>
      </c>
      <c r="T14" s="127">
        <f t="shared" si="2"/>
        <v>-634.14</v>
      </c>
    </row>
    <row r="15" spans="2:20">
      <c r="B15" s="124" t="s">
        <v>87</v>
      </c>
      <c r="C15" s="124" t="s">
        <v>208</v>
      </c>
      <c r="D15" s="120"/>
      <c r="E15" s="133"/>
      <c r="F15" s="120"/>
      <c r="G15" s="118"/>
      <c r="H15" s="121">
        <v>0</v>
      </c>
      <c r="I15" s="121">
        <v>0</v>
      </c>
      <c r="J15" s="121">
        <v>0</v>
      </c>
      <c r="K15" s="121">
        <v>-13833.34</v>
      </c>
      <c r="L15" s="121">
        <v>-13833.34</v>
      </c>
      <c r="M15" s="121">
        <v>-13833.34</v>
      </c>
      <c r="N15" s="121">
        <v>0</v>
      </c>
      <c r="O15" s="121">
        <v>-13833.34</v>
      </c>
      <c r="P15" s="121">
        <v>-13833.33</v>
      </c>
      <c r="Q15" s="121">
        <v>0</v>
      </c>
      <c r="R15" s="121">
        <v>0</v>
      </c>
      <c r="S15" s="121">
        <v>0</v>
      </c>
      <c r="T15" s="121">
        <f t="shared" si="2"/>
        <v>-69166.69</v>
      </c>
    </row>
    <row r="16" spans="2:20">
      <c r="B16" s="124" t="s">
        <v>87</v>
      </c>
      <c r="C16" s="124" t="s">
        <v>40</v>
      </c>
      <c r="D16" s="120"/>
      <c r="E16" s="133"/>
      <c r="F16" s="120"/>
      <c r="G16" s="118"/>
      <c r="H16" s="121">
        <v>0</v>
      </c>
      <c r="I16" s="121">
        <v>0</v>
      </c>
      <c r="J16" s="121">
        <v>-13412.88</v>
      </c>
      <c r="K16" s="121">
        <v>-13412.88</v>
      </c>
      <c r="L16" s="121">
        <v>-13412.88</v>
      </c>
      <c r="M16" s="121">
        <v>-13412.88</v>
      </c>
      <c r="N16" s="121">
        <v>-27246.21</v>
      </c>
      <c r="O16" s="121">
        <v>-13412.88</v>
      </c>
      <c r="P16" s="121">
        <v>-13412.88</v>
      </c>
      <c r="Q16" s="121">
        <v>-15648.36</v>
      </c>
      <c r="R16" s="121">
        <v>-15648.36</v>
      </c>
      <c r="S16" s="121">
        <v>-15648.36</v>
      </c>
      <c r="T16" s="121">
        <f t="shared" si="2"/>
        <v>-154668.57</v>
      </c>
    </row>
    <row r="17" spans="1:20">
      <c r="B17" s="124" t="s">
        <v>87</v>
      </c>
      <c r="C17" s="124" t="s">
        <v>169</v>
      </c>
      <c r="D17" s="120"/>
      <c r="E17" s="133"/>
      <c r="F17" s="120"/>
      <c r="G17" s="118"/>
      <c r="H17" s="121">
        <v>-6500</v>
      </c>
      <c r="I17" s="121">
        <v>-6500</v>
      </c>
      <c r="J17" s="121">
        <v>0</v>
      </c>
      <c r="K17" s="121">
        <v>0</v>
      </c>
      <c r="L17" s="121">
        <v>0</v>
      </c>
      <c r="M17" s="121">
        <v>0</v>
      </c>
      <c r="N17" s="121">
        <v>0</v>
      </c>
      <c r="O17" s="121">
        <v>0</v>
      </c>
      <c r="P17" s="121">
        <v>0</v>
      </c>
      <c r="Q17" s="121">
        <v>0</v>
      </c>
      <c r="R17" s="121">
        <v>0</v>
      </c>
      <c r="S17" s="121">
        <v>0</v>
      </c>
      <c r="T17" s="121">
        <f t="shared" si="2"/>
        <v>-13000</v>
      </c>
    </row>
    <row r="18" spans="1:20">
      <c r="B18" s="124" t="s">
        <v>87</v>
      </c>
      <c r="C18" s="124" t="s">
        <v>16</v>
      </c>
      <c r="D18" s="120"/>
      <c r="E18" s="133"/>
      <c r="F18" s="120"/>
      <c r="G18" s="118"/>
      <c r="H18" s="121">
        <v>0</v>
      </c>
      <c r="I18" s="121">
        <v>-87.3</v>
      </c>
      <c r="J18" s="121">
        <v>0</v>
      </c>
      <c r="K18" s="121">
        <v>0</v>
      </c>
      <c r="L18" s="121">
        <v>0</v>
      </c>
      <c r="M18" s="121">
        <v>0</v>
      </c>
      <c r="N18" s="121">
        <v>0</v>
      </c>
      <c r="O18" s="121">
        <v>0</v>
      </c>
      <c r="P18" s="121">
        <v>0</v>
      </c>
      <c r="Q18" s="121">
        <v>0</v>
      </c>
      <c r="R18" s="121">
        <v>0</v>
      </c>
      <c r="S18" s="121">
        <v>0</v>
      </c>
      <c r="T18" s="121">
        <f t="shared" si="2"/>
        <v>-87.3</v>
      </c>
    </row>
    <row r="19" spans="1:20">
      <c r="B19" s="14" t="s">
        <v>14</v>
      </c>
      <c r="C19" s="31" t="s">
        <v>172</v>
      </c>
      <c r="D19" s="27"/>
      <c r="E19" s="107"/>
      <c r="F19" s="15"/>
      <c r="G19" s="17"/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-54000</v>
      </c>
      <c r="P19" s="16">
        <v>0</v>
      </c>
      <c r="Q19" s="16">
        <v>-54000</v>
      </c>
      <c r="R19" s="16">
        <v>0</v>
      </c>
      <c r="S19" s="16">
        <v>0</v>
      </c>
      <c r="T19" s="16">
        <f t="shared" si="2"/>
        <v>-108000</v>
      </c>
    </row>
    <row r="20" spans="1:20">
      <c r="B20" s="7" t="s">
        <v>17</v>
      </c>
      <c r="C20" s="5" t="s">
        <v>42</v>
      </c>
      <c r="D20" s="5"/>
      <c r="E20" s="39"/>
      <c r="F20" s="5"/>
      <c r="H20" s="12">
        <v>0</v>
      </c>
      <c r="I20" s="12">
        <v>0</v>
      </c>
      <c r="J20" s="12">
        <v>-1</v>
      </c>
      <c r="K20" s="12">
        <v>-5</v>
      </c>
      <c r="L20" s="12">
        <v>-2</v>
      </c>
      <c r="M20" s="12">
        <v>-1</v>
      </c>
      <c r="N20" s="12">
        <v>-1</v>
      </c>
      <c r="O20" s="12">
        <v>-2</v>
      </c>
      <c r="P20" s="12">
        <v>-5</v>
      </c>
      <c r="Q20" s="12">
        <v>0</v>
      </c>
      <c r="R20" s="12">
        <v>-2</v>
      </c>
      <c r="S20" s="12">
        <v>-10</v>
      </c>
      <c r="T20" s="12">
        <f t="shared" si="2"/>
        <v>-29</v>
      </c>
    </row>
    <row r="21" spans="1:20">
      <c r="B21" s="7" t="s">
        <v>17</v>
      </c>
      <c r="C21" s="5" t="s">
        <v>16</v>
      </c>
      <c r="D21" s="5"/>
      <c r="E21" s="39"/>
      <c r="F21" s="5"/>
      <c r="H21" s="12">
        <v>0</v>
      </c>
      <c r="I21" s="12">
        <v>-349.26</v>
      </c>
      <c r="J21" s="12">
        <v>0</v>
      </c>
      <c r="K21" s="12">
        <v>-266.43999999999994</v>
      </c>
      <c r="L21" s="12">
        <v>0</v>
      </c>
      <c r="M21" s="12">
        <v>-56.25</v>
      </c>
      <c r="N21" s="12">
        <v>0</v>
      </c>
      <c r="O21" s="12">
        <v>0</v>
      </c>
      <c r="P21" s="12">
        <v>0</v>
      </c>
      <c r="Q21" s="12">
        <v>-1608.16</v>
      </c>
      <c r="R21" s="12">
        <v>1608.16</v>
      </c>
      <c r="S21" s="12">
        <v>0</v>
      </c>
      <c r="T21" s="12">
        <f t="shared" si="2"/>
        <v>-671.95</v>
      </c>
    </row>
    <row r="22" spans="1:20">
      <c r="B22" s="7" t="s">
        <v>17</v>
      </c>
      <c r="C22" s="4" t="s">
        <v>173</v>
      </c>
      <c r="D22" s="5"/>
      <c r="E22" s="39"/>
      <c r="F22" s="5"/>
      <c r="H22" s="12">
        <v>-30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f t="shared" ref="T22:T46" si="3">SUM(H22:S22)</f>
        <v>-30</v>
      </c>
    </row>
    <row r="23" spans="1:20">
      <c r="B23" s="7" t="s">
        <v>17</v>
      </c>
      <c r="C23" s="4" t="s">
        <v>174</v>
      </c>
      <c r="D23" s="5"/>
      <c r="E23" s="39"/>
      <c r="F23" s="5"/>
      <c r="H23" s="12">
        <v>0</v>
      </c>
      <c r="I23" s="12">
        <v>-500</v>
      </c>
      <c r="J23" s="12">
        <v>-500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f t="shared" si="3"/>
        <v>-1000</v>
      </c>
    </row>
    <row r="24" spans="1:20">
      <c r="B24" s="7" t="s">
        <v>17</v>
      </c>
      <c r="C24" s="4" t="s">
        <v>175</v>
      </c>
      <c r="D24" s="5"/>
      <c r="E24" s="39"/>
      <c r="F24" s="5"/>
      <c r="H24" s="12">
        <v>0</v>
      </c>
      <c r="I24" s="12">
        <v>-90.62</v>
      </c>
      <c r="J24" s="12">
        <v>0</v>
      </c>
      <c r="K24" s="12">
        <v>0</v>
      </c>
      <c r="L24" s="12">
        <v>-32.93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-69.44</v>
      </c>
      <c r="S24" s="12">
        <v>0</v>
      </c>
      <c r="T24" s="12">
        <f t="shared" si="3"/>
        <v>-192.99</v>
      </c>
    </row>
    <row r="25" spans="1:20">
      <c r="B25" s="7" t="s">
        <v>17</v>
      </c>
      <c r="C25" s="4" t="s">
        <v>176</v>
      </c>
      <c r="D25" s="5"/>
      <c r="E25" s="39"/>
      <c r="F25" s="5"/>
      <c r="H25" s="12">
        <v>0</v>
      </c>
      <c r="I25" s="12">
        <v>0</v>
      </c>
      <c r="J25" s="12">
        <v>0</v>
      </c>
      <c r="K25" s="12">
        <v>-3900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f t="shared" si="3"/>
        <v>-3900</v>
      </c>
    </row>
    <row r="26" spans="1:20">
      <c r="B26" s="122" t="s">
        <v>17</v>
      </c>
      <c r="C26" s="124" t="s">
        <v>156</v>
      </c>
      <c r="D26" s="120"/>
      <c r="E26" s="133"/>
      <c r="F26" s="120"/>
      <c r="G26" s="118"/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1000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f t="shared" si="3"/>
        <v>1000</v>
      </c>
    </row>
    <row r="27" spans="1:20">
      <c r="A27" s="38"/>
      <c r="B27" s="34" t="s">
        <v>17</v>
      </c>
      <c r="C27" s="35" t="s">
        <v>13</v>
      </c>
      <c r="D27" s="35"/>
      <c r="E27" s="132"/>
      <c r="F27" s="35"/>
      <c r="G27" s="36"/>
      <c r="H27" s="37">
        <v>-13.72</v>
      </c>
      <c r="I27" s="37">
        <v>-86.38</v>
      </c>
      <c r="J27" s="37">
        <v>-18.850000000000001</v>
      </c>
      <c r="K27" s="37">
        <v>-22.16</v>
      </c>
      <c r="L27" s="37">
        <v>-730.03</v>
      </c>
      <c r="M27" s="37">
        <v>-69.92</v>
      </c>
      <c r="N27" s="37">
        <v>-25.48</v>
      </c>
      <c r="O27" s="37">
        <v>-180.02</v>
      </c>
      <c r="P27" s="37">
        <v>0</v>
      </c>
      <c r="Q27" s="37">
        <v>0</v>
      </c>
      <c r="R27" s="37">
        <v>-44.51</v>
      </c>
      <c r="S27" s="37">
        <v>0</v>
      </c>
      <c r="T27" s="37">
        <f t="shared" si="3"/>
        <v>-1191.07</v>
      </c>
    </row>
    <row r="28" spans="1:20">
      <c r="B28" s="147" t="s">
        <v>18</v>
      </c>
      <c r="C28" s="148" t="s">
        <v>19</v>
      </c>
      <c r="D28" s="148"/>
      <c r="E28" s="151"/>
      <c r="F28" s="148"/>
      <c r="G28" s="149"/>
      <c r="H28" s="150">
        <v>-780</v>
      </c>
      <c r="I28" s="150">
        <v>-795</v>
      </c>
      <c r="J28" s="150">
        <v>-795</v>
      </c>
      <c r="K28" s="150">
        <v>-795</v>
      </c>
      <c r="L28" s="150">
        <v>-840</v>
      </c>
      <c r="M28" s="150">
        <v>-870</v>
      </c>
      <c r="N28" s="150">
        <v>-900</v>
      </c>
      <c r="O28" s="150">
        <v>-930</v>
      </c>
      <c r="P28" s="150">
        <v>-990</v>
      </c>
      <c r="Q28" s="150">
        <v>-1050</v>
      </c>
      <c r="R28" s="150">
        <v>-2100</v>
      </c>
      <c r="S28" s="150">
        <v>-1095</v>
      </c>
      <c r="T28" s="150">
        <f t="shared" si="3"/>
        <v>-11940</v>
      </c>
    </row>
    <row r="29" spans="1:20">
      <c r="B29" s="7" t="s">
        <v>20</v>
      </c>
      <c r="C29" s="4" t="s">
        <v>110</v>
      </c>
      <c r="D29" s="5"/>
      <c r="E29" s="39" t="s">
        <v>209</v>
      </c>
      <c r="F29" s="5"/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-900</v>
      </c>
      <c r="T29" s="12">
        <f t="shared" si="3"/>
        <v>-900</v>
      </c>
    </row>
    <row r="30" spans="1:20">
      <c r="B30" s="7" t="s">
        <v>20</v>
      </c>
      <c r="C30" s="4" t="s">
        <v>177</v>
      </c>
      <c r="D30" s="26"/>
      <c r="E30" s="39" t="s">
        <v>209</v>
      </c>
      <c r="F30" s="5"/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-4956.43</v>
      </c>
      <c r="T30" s="12">
        <f t="shared" si="3"/>
        <v>-4956.43</v>
      </c>
    </row>
    <row r="31" spans="1:20">
      <c r="A31" s="38"/>
      <c r="B31" s="140" t="s">
        <v>178</v>
      </c>
      <c r="C31" s="140" t="s">
        <v>179</v>
      </c>
      <c r="D31" s="141"/>
      <c r="E31" s="152"/>
      <c r="F31" s="141"/>
      <c r="G31" s="142"/>
      <c r="H31" s="143">
        <v>-577.04</v>
      </c>
      <c r="I31" s="143">
        <v>577.04</v>
      </c>
      <c r="J31" s="143">
        <v>0</v>
      </c>
      <c r="K31" s="143">
        <v>0</v>
      </c>
      <c r="L31" s="143">
        <v>0</v>
      </c>
      <c r="M31" s="143">
        <v>0</v>
      </c>
      <c r="N31" s="143">
        <v>0</v>
      </c>
      <c r="O31" s="143">
        <v>0</v>
      </c>
      <c r="P31" s="143">
        <v>0</v>
      </c>
      <c r="Q31" s="143">
        <v>0</v>
      </c>
      <c r="R31" s="143">
        <v>0</v>
      </c>
      <c r="S31" s="143">
        <v>0</v>
      </c>
      <c r="T31" s="143">
        <f t="shared" si="3"/>
        <v>0</v>
      </c>
    </row>
    <row r="32" spans="1:20">
      <c r="B32" s="119" t="s">
        <v>36</v>
      </c>
      <c r="C32" s="120" t="s">
        <v>45</v>
      </c>
      <c r="D32" s="120"/>
      <c r="E32" s="133"/>
      <c r="F32" s="120"/>
      <c r="G32" s="13"/>
      <c r="H32" s="121">
        <v>-1373.16</v>
      </c>
      <c r="I32" s="121">
        <v>-1373.16</v>
      </c>
      <c r="J32" s="121">
        <v>-1373.16</v>
      </c>
      <c r="K32" s="121">
        <v>-1373.16</v>
      </c>
      <c r="L32" s="121">
        <v>-1373.16</v>
      </c>
      <c r="M32" s="121">
        <v>-1373.16</v>
      </c>
      <c r="N32" s="121">
        <v>-1373.16</v>
      </c>
      <c r="O32" s="121">
        <v>-1373.16</v>
      </c>
      <c r="P32" s="121">
        <v>-1373.19</v>
      </c>
      <c r="Q32" s="121">
        <v>-1382.19</v>
      </c>
      <c r="R32" s="121">
        <v>-1492.69</v>
      </c>
      <c r="S32" s="121">
        <v>-1492.69</v>
      </c>
      <c r="T32" s="121">
        <f t="shared" si="3"/>
        <v>-16726.04</v>
      </c>
    </row>
    <row r="33" spans="1:20" ht="14.55" customHeight="1">
      <c r="B33" s="122" t="s">
        <v>36</v>
      </c>
      <c r="C33" s="120" t="s">
        <v>37</v>
      </c>
      <c r="D33" s="120"/>
      <c r="E33" s="133"/>
      <c r="F33" s="120"/>
      <c r="G33" s="13"/>
      <c r="H33" s="121">
        <v>-6374.18</v>
      </c>
      <c r="I33" s="121">
        <v>0</v>
      </c>
      <c r="J33" s="121">
        <v>-7123.18</v>
      </c>
      <c r="K33" s="121">
        <v>-14433.990000000002</v>
      </c>
      <c r="L33" s="121">
        <v>-7487.81</v>
      </c>
      <c r="M33" s="121">
        <v>-7566.81</v>
      </c>
      <c r="N33" s="121">
        <v>-7670</v>
      </c>
      <c r="O33" s="121">
        <v>-8847.18</v>
      </c>
      <c r="P33" s="121">
        <v>-8037.18</v>
      </c>
      <c r="Q33" s="121">
        <v>-9657.18</v>
      </c>
      <c r="R33" s="121">
        <v>-8680</v>
      </c>
      <c r="S33" s="121">
        <v>-7915</v>
      </c>
      <c r="T33" s="121">
        <f t="shared" si="3"/>
        <v>-93792.510000000009</v>
      </c>
    </row>
    <row r="34" spans="1:20">
      <c r="B34" s="122" t="s">
        <v>36</v>
      </c>
      <c r="C34" s="144" t="s">
        <v>29</v>
      </c>
      <c r="D34" s="123"/>
      <c r="E34" s="153"/>
      <c r="F34" s="145"/>
      <c r="G34" s="13"/>
      <c r="H34" s="121">
        <v>0</v>
      </c>
      <c r="I34" s="121">
        <v>0</v>
      </c>
      <c r="J34" s="121">
        <v>0</v>
      </c>
      <c r="K34" s="121">
        <v>0</v>
      </c>
      <c r="L34" s="121">
        <v>0</v>
      </c>
      <c r="M34" s="121">
        <v>0</v>
      </c>
      <c r="N34" s="121">
        <v>-8870.89</v>
      </c>
      <c r="O34" s="121">
        <v>0</v>
      </c>
      <c r="P34" s="121">
        <v>0</v>
      </c>
      <c r="Q34" s="121">
        <v>0</v>
      </c>
      <c r="R34" s="121">
        <v>0</v>
      </c>
      <c r="S34" s="121">
        <v>0</v>
      </c>
      <c r="T34" s="121">
        <f t="shared" si="3"/>
        <v>-8870.89</v>
      </c>
    </row>
    <row r="35" spans="1:20">
      <c r="B35" s="122" t="s">
        <v>36</v>
      </c>
      <c r="C35" s="124" t="s">
        <v>13</v>
      </c>
      <c r="D35" s="123"/>
      <c r="E35" s="153"/>
      <c r="F35" s="145"/>
      <c r="G35" s="13"/>
      <c r="H35" s="121">
        <v>-249.95</v>
      </c>
      <c r="I35" s="121">
        <v>-254.79000000000002</v>
      </c>
      <c r="J35" s="121">
        <v>-290.58</v>
      </c>
      <c r="K35" s="121">
        <v>0</v>
      </c>
      <c r="L35" s="121">
        <v>-358.52</v>
      </c>
      <c r="M35" s="121">
        <v>0</v>
      </c>
      <c r="N35" s="121">
        <v>0</v>
      </c>
      <c r="O35" s="121">
        <v>0</v>
      </c>
      <c r="P35" s="121">
        <v>0</v>
      </c>
      <c r="Q35" s="121">
        <v>0</v>
      </c>
      <c r="R35" s="121">
        <v>-302.5</v>
      </c>
      <c r="S35" s="121">
        <v>0</v>
      </c>
      <c r="T35" s="121">
        <f t="shared" si="3"/>
        <v>-1456.34</v>
      </c>
    </row>
    <row r="36" spans="1:20">
      <c r="B36" s="122" t="s">
        <v>36</v>
      </c>
      <c r="C36" s="124" t="s">
        <v>7</v>
      </c>
      <c r="D36" s="123"/>
      <c r="E36" s="153"/>
      <c r="F36" s="145"/>
      <c r="G36" s="13"/>
      <c r="H36" s="121">
        <v>0</v>
      </c>
      <c r="I36" s="121">
        <v>0</v>
      </c>
      <c r="J36" s="121">
        <v>0</v>
      </c>
      <c r="K36" s="121">
        <v>0</v>
      </c>
      <c r="L36" s="121">
        <v>0</v>
      </c>
      <c r="M36" s="121">
        <v>0</v>
      </c>
      <c r="N36" s="121">
        <v>0</v>
      </c>
      <c r="O36" s="121">
        <v>0</v>
      </c>
      <c r="P36" s="121">
        <v>-418.08</v>
      </c>
      <c r="Q36" s="121">
        <v>0</v>
      </c>
      <c r="R36" s="121">
        <v>0</v>
      </c>
      <c r="S36" s="121">
        <v>0</v>
      </c>
      <c r="T36" s="121">
        <f t="shared" si="3"/>
        <v>-418.08</v>
      </c>
    </row>
    <row r="37" spans="1:20">
      <c r="B37" s="122" t="s">
        <v>36</v>
      </c>
      <c r="C37" s="124" t="s">
        <v>164</v>
      </c>
      <c r="D37" s="123"/>
      <c r="E37" s="153"/>
      <c r="F37" s="145"/>
      <c r="G37" s="13"/>
      <c r="H37" s="121">
        <v>0</v>
      </c>
      <c r="I37" s="121">
        <v>0</v>
      </c>
      <c r="J37" s="121">
        <v>0</v>
      </c>
      <c r="K37" s="121">
        <v>0</v>
      </c>
      <c r="L37" s="121">
        <v>0</v>
      </c>
      <c r="M37" s="121">
        <v>57.69</v>
      </c>
      <c r="N37" s="121">
        <v>0</v>
      </c>
      <c r="O37" s="121">
        <v>0</v>
      </c>
      <c r="P37" s="121">
        <v>0</v>
      </c>
      <c r="Q37" s="121">
        <v>0</v>
      </c>
      <c r="R37" s="121">
        <v>0</v>
      </c>
      <c r="S37" s="121">
        <v>0</v>
      </c>
      <c r="T37" s="121">
        <f t="shared" si="3"/>
        <v>57.69</v>
      </c>
    </row>
    <row r="38" spans="1:20">
      <c r="B38" s="122" t="s">
        <v>36</v>
      </c>
      <c r="C38" s="124" t="s">
        <v>171</v>
      </c>
      <c r="D38" s="123"/>
      <c r="E38" s="153"/>
      <c r="F38" s="145"/>
      <c r="G38" s="13"/>
      <c r="H38" s="121">
        <v>-1113.08</v>
      </c>
      <c r="I38" s="121">
        <v>-1109.57</v>
      </c>
      <c r="J38" s="121">
        <v>-1124.6300000000001</v>
      </c>
      <c r="K38" s="121">
        <v>-1124.6300000000001</v>
      </c>
      <c r="L38" s="121">
        <v>-1160.7900000000002</v>
      </c>
      <c r="M38" s="121">
        <v>-1177.93</v>
      </c>
      <c r="N38" s="121">
        <v>0</v>
      </c>
      <c r="O38" s="121">
        <v>-1177.93</v>
      </c>
      <c r="P38" s="121">
        <v>-1364.48</v>
      </c>
      <c r="Q38" s="121">
        <v>-1364.48</v>
      </c>
      <c r="R38" s="121">
        <v>-1364.48</v>
      </c>
      <c r="S38" s="121">
        <v>0</v>
      </c>
      <c r="T38" s="121">
        <f t="shared" si="3"/>
        <v>-12082</v>
      </c>
    </row>
    <row r="39" spans="1:20">
      <c r="B39" s="122" t="s">
        <v>36</v>
      </c>
      <c r="C39" s="124" t="s">
        <v>149</v>
      </c>
      <c r="D39" s="123"/>
      <c r="E39" s="153"/>
      <c r="F39" s="145"/>
      <c r="G39" s="13"/>
      <c r="H39" s="121">
        <v>-1071.3800000000001</v>
      </c>
      <c r="I39" s="121">
        <v>0</v>
      </c>
      <c r="J39" s="121">
        <v>0</v>
      </c>
      <c r="K39" s="121">
        <v>0</v>
      </c>
      <c r="L39" s="121">
        <v>0</v>
      </c>
      <c r="M39" s="121">
        <v>0</v>
      </c>
      <c r="N39" s="121">
        <v>0</v>
      </c>
      <c r="O39" s="121">
        <v>0</v>
      </c>
      <c r="P39" s="121">
        <v>0</v>
      </c>
      <c r="Q39" s="121">
        <v>0</v>
      </c>
      <c r="R39" s="121">
        <v>0</v>
      </c>
      <c r="S39" s="121">
        <v>0</v>
      </c>
      <c r="T39" s="121">
        <f t="shared" si="3"/>
        <v>-1071.3800000000001</v>
      </c>
    </row>
    <row r="40" spans="1:20">
      <c r="B40" s="122" t="s">
        <v>36</v>
      </c>
      <c r="C40" s="124" t="s">
        <v>203</v>
      </c>
      <c r="D40" s="123"/>
      <c r="E40" s="153"/>
      <c r="F40" s="145"/>
      <c r="G40" s="13"/>
      <c r="H40" s="121">
        <v>-6</v>
      </c>
      <c r="I40" s="121">
        <v>-3</v>
      </c>
      <c r="J40" s="121">
        <v>-6</v>
      </c>
      <c r="K40" s="121">
        <v>-2</v>
      </c>
      <c r="L40" s="121">
        <v>0</v>
      </c>
      <c r="M40" s="121">
        <v>-10</v>
      </c>
      <c r="N40" s="121">
        <v>0</v>
      </c>
      <c r="O40" s="121">
        <v>0</v>
      </c>
      <c r="P40" s="121">
        <v>0</v>
      </c>
      <c r="Q40" s="121">
        <v>0</v>
      </c>
      <c r="R40" s="121">
        <v>0</v>
      </c>
      <c r="S40" s="121">
        <v>0</v>
      </c>
      <c r="T40" s="121">
        <f t="shared" si="3"/>
        <v>-27</v>
      </c>
    </row>
    <row r="41" spans="1:20">
      <c r="B41" s="122" t="s">
        <v>36</v>
      </c>
      <c r="C41" s="124" t="s">
        <v>200</v>
      </c>
      <c r="D41" s="123"/>
      <c r="E41" s="153"/>
      <c r="F41" s="145"/>
      <c r="G41" s="13"/>
      <c r="H41" s="121">
        <v>0</v>
      </c>
      <c r="I41" s="121">
        <v>-49.38</v>
      </c>
      <c r="J41" s="121">
        <v>-79</v>
      </c>
      <c r="K41" s="121">
        <v>-32.729999999999997</v>
      </c>
      <c r="L41" s="121">
        <v>-190.24</v>
      </c>
      <c r="M41" s="121">
        <v>-110.33</v>
      </c>
      <c r="N41" s="121">
        <v>0</v>
      </c>
      <c r="O41" s="121">
        <v>-149.16</v>
      </c>
      <c r="P41" s="121">
        <v>0</v>
      </c>
      <c r="Q41" s="121">
        <v>0</v>
      </c>
      <c r="R41" s="121">
        <v>0</v>
      </c>
      <c r="S41" s="121">
        <v>-165.36</v>
      </c>
      <c r="T41" s="121">
        <f t="shared" si="3"/>
        <v>-776.2</v>
      </c>
    </row>
    <row r="42" spans="1:20">
      <c r="B42" s="122" t="s">
        <v>36</v>
      </c>
      <c r="C42" s="124" t="s">
        <v>201</v>
      </c>
      <c r="D42" s="123"/>
      <c r="E42" s="153"/>
      <c r="F42" s="145"/>
      <c r="G42" s="13"/>
      <c r="H42" s="121">
        <v>0</v>
      </c>
      <c r="I42" s="121">
        <v>0</v>
      </c>
      <c r="J42" s="121">
        <v>0</v>
      </c>
      <c r="K42" s="121">
        <v>-7.85</v>
      </c>
      <c r="L42" s="121">
        <v>0</v>
      </c>
      <c r="M42" s="121">
        <v>0</v>
      </c>
      <c r="N42" s="121">
        <v>0</v>
      </c>
      <c r="O42" s="121">
        <v>0</v>
      </c>
      <c r="P42" s="121">
        <v>0</v>
      </c>
      <c r="Q42" s="121">
        <v>0</v>
      </c>
      <c r="R42" s="121">
        <v>0</v>
      </c>
      <c r="S42" s="121">
        <v>0</v>
      </c>
      <c r="T42" s="121">
        <f t="shared" si="3"/>
        <v>-7.85</v>
      </c>
    </row>
    <row r="43" spans="1:20">
      <c r="B43" s="122" t="s">
        <v>36</v>
      </c>
      <c r="C43" s="124" t="s">
        <v>16</v>
      </c>
      <c r="D43" s="123"/>
      <c r="E43" s="153"/>
      <c r="F43" s="145"/>
      <c r="G43" s="13"/>
      <c r="H43" s="121">
        <v>0</v>
      </c>
      <c r="I43" s="121">
        <v>0</v>
      </c>
      <c r="J43" s="121">
        <v>0</v>
      </c>
      <c r="K43" s="121">
        <v>-192</v>
      </c>
      <c r="L43" s="121">
        <v>0</v>
      </c>
      <c r="M43" s="121">
        <v>0</v>
      </c>
      <c r="N43" s="121">
        <v>-516.35</v>
      </c>
      <c r="O43" s="121">
        <v>0</v>
      </c>
      <c r="P43" s="121">
        <v>0</v>
      </c>
      <c r="Q43" s="121">
        <v>-333.95</v>
      </c>
      <c r="R43" s="121">
        <v>-31.66</v>
      </c>
      <c r="S43" s="121">
        <v>0</v>
      </c>
      <c r="T43" s="121">
        <f t="shared" si="3"/>
        <v>-1073.96</v>
      </c>
    </row>
    <row r="44" spans="1:20">
      <c r="B44" s="122" t="s">
        <v>36</v>
      </c>
      <c r="C44" s="124" t="s">
        <v>205</v>
      </c>
      <c r="D44" s="123"/>
      <c r="E44" s="153"/>
      <c r="F44" s="145"/>
      <c r="G44" s="13"/>
      <c r="H44" s="121">
        <v>0</v>
      </c>
      <c r="I44" s="121">
        <v>0</v>
      </c>
      <c r="J44" s="121">
        <v>0</v>
      </c>
      <c r="K44" s="121">
        <v>0</v>
      </c>
      <c r="L44" s="121">
        <v>0</v>
      </c>
      <c r="M44" s="121">
        <v>0</v>
      </c>
      <c r="N44" s="121">
        <v>0</v>
      </c>
      <c r="O44" s="121">
        <v>474</v>
      </c>
      <c r="P44" s="121">
        <v>0</v>
      </c>
      <c r="Q44" s="121">
        <v>0</v>
      </c>
      <c r="R44" s="121">
        <v>0</v>
      </c>
      <c r="S44" s="121">
        <v>-3354.55</v>
      </c>
      <c r="T44" s="121">
        <f t="shared" si="3"/>
        <v>-2880.55</v>
      </c>
    </row>
    <row r="45" spans="1:20">
      <c r="B45" s="122" t="s">
        <v>36</v>
      </c>
      <c r="C45" s="124" t="s">
        <v>202</v>
      </c>
      <c r="D45" s="123"/>
      <c r="E45" s="153"/>
      <c r="F45" s="145"/>
      <c r="G45" s="13"/>
      <c r="H45" s="121">
        <v>0</v>
      </c>
      <c r="I45" s="121">
        <v>0</v>
      </c>
      <c r="J45" s="121">
        <v>0</v>
      </c>
      <c r="K45" s="121">
        <v>0</v>
      </c>
      <c r="L45" s="121">
        <v>0</v>
      </c>
      <c r="M45" s="121">
        <v>0</v>
      </c>
      <c r="N45" s="121">
        <v>0</v>
      </c>
      <c r="O45" s="121">
        <v>0</v>
      </c>
      <c r="P45" s="121">
        <v>0</v>
      </c>
      <c r="Q45" s="121">
        <v>0</v>
      </c>
      <c r="R45" s="121">
        <v>0</v>
      </c>
      <c r="S45" s="121">
        <v>-1375</v>
      </c>
      <c r="T45" s="121">
        <f t="shared" si="3"/>
        <v>-1375</v>
      </c>
    </row>
    <row r="46" spans="1:20">
      <c r="B46" s="25" t="s">
        <v>36</v>
      </c>
      <c r="C46" s="31" t="s">
        <v>207</v>
      </c>
      <c r="D46" s="27"/>
      <c r="E46" s="154"/>
      <c r="F46" s="146"/>
      <c r="G46" s="139"/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-480.36</v>
      </c>
      <c r="T46" s="16">
        <f t="shared" si="3"/>
        <v>-480.36</v>
      </c>
    </row>
    <row r="47" spans="1:20">
      <c r="A47" s="24"/>
      <c r="B47" s="14" t="s">
        <v>25</v>
      </c>
      <c r="C47" s="15" t="s">
        <v>44</v>
      </c>
      <c r="D47" s="15"/>
      <c r="E47" s="107"/>
      <c r="F47" s="15"/>
      <c r="G47" s="17"/>
      <c r="H47" s="16">
        <v>-25030.18</v>
      </c>
      <c r="I47" s="16">
        <v>-24109.63</v>
      </c>
      <c r="J47" s="16">
        <v>-21067.279999999999</v>
      </c>
      <c r="K47" s="16">
        <v>-15890.000000000002</v>
      </c>
      <c r="L47" s="16">
        <v>-17131.39</v>
      </c>
      <c r="M47" s="16">
        <v>-32363.35</v>
      </c>
      <c r="N47" s="16">
        <v>-28741.57</v>
      </c>
      <c r="O47" s="16">
        <v>-39045.07</v>
      </c>
      <c r="P47" s="16">
        <v>-40720.85</v>
      </c>
      <c r="Q47" s="16">
        <v>-31734.46</v>
      </c>
      <c r="R47" s="16">
        <v>-34459.57</v>
      </c>
      <c r="S47" s="16">
        <v>-23720.730000000003</v>
      </c>
      <c r="T47" s="16">
        <f t="shared" ref="T47:T67" si="4">SUM(H47:S47)</f>
        <v>-334014.08000000002</v>
      </c>
    </row>
    <row r="48" spans="1:20">
      <c r="B48" s="125" t="s">
        <v>26</v>
      </c>
      <c r="C48" s="93" t="s">
        <v>11</v>
      </c>
      <c r="D48" s="89"/>
      <c r="E48" s="108"/>
      <c r="F48" s="89"/>
      <c r="G48" s="136"/>
      <c r="H48" s="127">
        <v>-27900</v>
      </c>
      <c r="I48" s="127">
        <v>0</v>
      </c>
      <c r="J48" s="127">
        <v>0</v>
      </c>
      <c r="K48" s="127">
        <v>-5200</v>
      </c>
      <c r="L48" s="127">
        <v>0</v>
      </c>
      <c r="M48" s="127">
        <v>0</v>
      </c>
      <c r="N48" s="127">
        <v>-1800</v>
      </c>
      <c r="O48" s="127">
        <v>-4200</v>
      </c>
      <c r="P48" s="127">
        <v>0</v>
      </c>
      <c r="Q48" s="127">
        <v>0</v>
      </c>
      <c r="R48" s="127">
        <v>0</v>
      </c>
      <c r="S48" s="127">
        <v>0</v>
      </c>
      <c r="T48" s="127">
        <f t="shared" si="4"/>
        <v>-39100</v>
      </c>
    </row>
    <row r="49" spans="2:20">
      <c r="B49" s="119" t="s">
        <v>26</v>
      </c>
      <c r="C49" s="124" t="s">
        <v>152</v>
      </c>
      <c r="D49" s="123"/>
      <c r="E49" s="155"/>
      <c r="F49" s="137"/>
      <c r="G49" s="13"/>
      <c r="H49" s="121">
        <v>-5075</v>
      </c>
      <c r="I49" s="121">
        <v>0</v>
      </c>
      <c r="J49" s="121">
        <v>0</v>
      </c>
      <c r="K49" s="121">
        <v>0</v>
      </c>
      <c r="L49" s="121">
        <v>0</v>
      </c>
      <c r="M49" s="121">
        <v>0</v>
      </c>
      <c r="N49" s="121">
        <v>0</v>
      </c>
      <c r="O49" s="121">
        <v>-11563.28</v>
      </c>
      <c r="P49" s="121">
        <v>0</v>
      </c>
      <c r="Q49" s="121">
        <v>0</v>
      </c>
      <c r="R49" s="121">
        <v>0</v>
      </c>
      <c r="S49" s="121">
        <v>0</v>
      </c>
      <c r="T49" s="121">
        <f t="shared" si="4"/>
        <v>-16638.28</v>
      </c>
    </row>
    <row r="50" spans="2:20">
      <c r="B50" s="119" t="s">
        <v>26</v>
      </c>
      <c r="C50" s="124" t="s">
        <v>164</v>
      </c>
      <c r="D50" s="123"/>
      <c r="E50" s="155"/>
      <c r="F50" s="137"/>
      <c r="G50" s="13"/>
      <c r="H50" s="121">
        <v>-57.69</v>
      </c>
      <c r="I50" s="121">
        <v>-57.69</v>
      </c>
      <c r="J50" s="121">
        <v>-57.69</v>
      </c>
      <c r="K50" s="121">
        <v>-57.69</v>
      </c>
      <c r="L50" s="121">
        <v>-57.69</v>
      </c>
      <c r="M50" s="121">
        <v>-173.07</v>
      </c>
      <c r="N50" s="121">
        <v>-57.69</v>
      </c>
      <c r="O50" s="121">
        <v>0</v>
      </c>
      <c r="P50" s="121">
        <v>-57.69</v>
      </c>
      <c r="Q50" s="121">
        <v>0</v>
      </c>
      <c r="R50" s="121">
        <v>0</v>
      </c>
      <c r="S50" s="121">
        <v>0</v>
      </c>
      <c r="T50" s="121">
        <f t="shared" si="4"/>
        <v>-576.90000000000009</v>
      </c>
    </row>
    <row r="51" spans="2:20">
      <c r="B51" s="119" t="s">
        <v>26</v>
      </c>
      <c r="C51" s="124" t="s">
        <v>205</v>
      </c>
      <c r="D51" s="123"/>
      <c r="E51" s="155"/>
      <c r="F51" s="137"/>
      <c r="G51" s="13"/>
      <c r="H51" s="121">
        <v>0</v>
      </c>
      <c r="I51" s="121">
        <v>-14.02</v>
      </c>
      <c r="J51" s="121">
        <v>0</v>
      </c>
      <c r="K51" s="121">
        <v>0</v>
      </c>
      <c r="L51" s="121">
        <v>0</v>
      </c>
      <c r="M51" s="121">
        <v>0</v>
      </c>
      <c r="N51" s="121">
        <v>0</v>
      </c>
      <c r="O51" s="121">
        <v>0</v>
      </c>
      <c r="P51" s="121">
        <v>0</v>
      </c>
      <c r="Q51" s="121">
        <v>0</v>
      </c>
      <c r="R51" s="121">
        <v>0</v>
      </c>
      <c r="S51" s="121">
        <v>0</v>
      </c>
      <c r="T51" s="121">
        <f t="shared" si="4"/>
        <v>-14.02</v>
      </c>
    </row>
    <row r="52" spans="2:20">
      <c r="B52" s="14" t="s">
        <v>26</v>
      </c>
      <c r="C52" s="31" t="s">
        <v>180</v>
      </c>
      <c r="D52" s="27"/>
      <c r="E52" s="156"/>
      <c r="F52" s="138"/>
      <c r="G52" s="139"/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-7972.57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f t="shared" si="4"/>
        <v>-7972.57</v>
      </c>
    </row>
    <row r="53" spans="2:20">
      <c r="B53" s="2" t="s">
        <v>27</v>
      </c>
      <c r="C53" s="5" t="s">
        <v>28</v>
      </c>
      <c r="D53" s="5"/>
      <c r="E53" s="39" t="s">
        <v>209</v>
      </c>
      <c r="F53" s="5" t="s">
        <v>362</v>
      </c>
      <c r="H53" s="12">
        <v>0</v>
      </c>
      <c r="I53" s="12">
        <v>0</v>
      </c>
      <c r="J53" s="12">
        <v>-166813.5</v>
      </c>
      <c r="K53" s="12">
        <v>0</v>
      </c>
      <c r="L53" s="12">
        <v>0</v>
      </c>
      <c r="M53" s="12">
        <v>0</v>
      </c>
      <c r="N53" s="12">
        <v>-37506</v>
      </c>
      <c r="O53" s="12">
        <v>-26341</v>
      </c>
      <c r="P53" s="12">
        <v>0</v>
      </c>
      <c r="Q53" s="12">
        <v>0</v>
      </c>
      <c r="R53" s="12">
        <v>0</v>
      </c>
      <c r="S53" s="12">
        <v>0</v>
      </c>
      <c r="T53" s="12">
        <f t="shared" si="4"/>
        <v>-230660.5</v>
      </c>
    </row>
    <row r="54" spans="2:20">
      <c r="B54" s="2" t="s">
        <v>27</v>
      </c>
      <c r="C54" s="5" t="s">
        <v>13</v>
      </c>
      <c r="D54" s="5"/>
      <c r="E54" s="39"/>
      <c r="F54" s="5"/>
      <c r="G54" s="13"/>
      <c r="H54" s="12">
        <v>-21523.87</v>
      </c>
      <c r="I54" s="12">
        <v>-503.42</v>
      </c>
      <c r="J54" s="12">
        <v>-2613.6899999999996</v>
      </c>
      <c r="K54" s="12">
        <v>-180.02</v>
      </c>
      <c r="L54" s="12">
        <v>0</v>
      </c>
      <c r="M54" s="12">
        <v>0</v>
      </c>
      <c r="N54" s="12">
        <v>-10130.27</v>
      </c>
      <c r="O54" s="12">
        <v>-13228.75</v>
      </c>
      <c r="P54" s="12">
        <v>-223.20999999999998</v>
      </c>
      <c r="Q54" s="12">
        <v>-324.39999999999998</v>
      </c>
      <c r="R54" s="12">
        <v>-14816.1</v>
      </c>
      <c r="S54" s="12">
        <v>0</v>
      </c>
      <c r="T54" s="12">
        <f t="shared" si="4"/>
        <v>-63543.729999999996</v>
      </c>
    </row>
    <row r="55" spans="2:20">
      <c r="B55" s="7" t="s">
        <v>27</v>
      </c>
      <c r="C55" s="26" t="s">
        <v>16</v>
      </c>
      <c r="D55" s="26"/>
      <c r="E55" s="39"/>
      <c r="F55" s="5"/>
      <c r="H55" s="12">
        <v>0</v>
      </c>
      <c r="I55" s="12">
        <v>0</v>
      </c>
      <c r="J55" s="12">
        <v>-1474.91</v>
      </c>
      <c r="K55" s="12">
        <v>0</v>
      </c>
      <c r="L55" s="12">
        <v>0</v>
      </c>
      <c r="M55" s="12">
        <v>0</v>
      </c>
      <c r="N55" s="12">
        <v>-933.03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f t="shared" si="4"/>
        <v>-2407.94</v>
      </c>
    </row>
    <row r="56" spans="2:20">
      <c r="B56" s="7" t="s">
        <v>27</v>
      </c>
      <c r="C56" s="4" t="s">
        <v>181</v>
      </c>
      <c r="D56" s="5"/>
      <c r="E56" s="39"/>
      <c r="F56" s="5"/>
      <c r="H56" s="12">
        <v>0</v>
      </c>
      <c r="I56" s="12">
        <v>-300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f t="shared" si="4"/>
        <v>-300</v>
      </c>
    </row>
    <row r="57" spans="2:20">
      <c r="B57" s="122" t="s">
        <v>27</v>
      </c>
      <c r="C57" s="124" t="s">
        <v>182</v>
      </c>
      <c r="D57" s="120"/>
      <c r="E57" s="133" t="s">
        <v>209</v>
      </c>
      <c r="F57" s="120"/>
      <c r="G57" s="118"/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-3075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f t="shared" si="4"/>
        <v>-3075</v>
      </c>
    </row>
    <row r="58" spans="2:20">
      <c r="B58" s="7" t="s">
        <v>27</v>
      </c>
      <c r="C58" s="4" t="s">
        <v>183</v>
      </c>
      <c r="D58" s="5"/>
      <c r="E58" s="39"/>
      <c r="F58" s="5"/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-15000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f t="shared" si="4"/>
        <v>-15000</v>
      </c>
    </row>
    <row r="59" spans="2:20">
      <c r="B59" s="7" t="s">
        <v>27</v>
      </c>
      <c r="C59" s="4" t="s">
        <v>184</v>
      </c>
      <c r="D59" s="5"/>
      <c r="E59" s="39"/>
      <c r="F59" s="5"/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-13504</v>
      </c>
      <c r="P59" s="12">
        <v>0</v>
      </c>
      <c r="Q59" s="12">
        <v>0</v>
      </c>
      <c r="R59" s="12">
        <v>0</v>
      </c>
      <c r="S59" s="12">
        <v>0</v>
      </c>
      <c r="T59" s="12">
        <f t="shared" si="4"/>
        <v>-13504</v>
      </c>
    </row>
    <row r="60" spans="2:20">
      <c r="B60" s="7" t="s">
        <v>27</v>
      </c>
      <c r="C60" s="4" t="s">
        <v>185</v>
      </c>
      <c r="D60" s="5"/>
      <c r="E60" s="39"/>
      <c r="F60" s="5"/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-500</v>
      </c>
      <c r="Q60" s="12">
        <v>0</v>
      </c>
      <c r="R60" s="12">
        <v>0</v>
      </c>
      <c r="S60" s="12">
        <v>0</v>
      </c>
      <c r="T60" s="12">
        <f t="shared" si="4"/>
        <v>-500</v>
      </c>
    </row>
    <row r="61" spans="2:20">
      <c r="B61" s="122" t="s">
        <v>27</v>
      </c>
      <c r="C61" s="124" t="s">
        <v>186</v>
      </c>
      <c r="D61" s="120"/>
      <c r="E61" s="133" t="s">
        <v>209</v>
      </c>
      <c r="F61" s="120"/>
      <c r="G61" s="118"/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-100</v>
      </c>
      <c r="Q61" s="12">
        <v>0</v>
      </c>
      <c r="R61" s="12">
        <v>0</v>
      </c>
      <c r="S61" s="12">
        <v>0</v>
      </c>
      <c r="T61" s="12">
        <f t="shared" si="4"/>
        <v>-100</v>
      </c>
    </row>
    <row r="62" spans="2:20">
      <c r="B62" s="7" t="s">
        <v>27</v>
      </c>
      <c r="C62" s="4" t="s">
        <v>33</v>
      </c>
      <c r="D62" s="5"/>
      <c r="E62" s="39" t="s">
        <v>209</v>
      </c>
      <c r="F62" s="5"/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-75</v>
      </c>
      <c r="Q62" s="12">
        <v>-25</v>
      </c>
      <c r="R62" s="12">
        <v>0</v>
      </c>
      <c r="S62" s="12">
        <v>0</v>
      </c>
      <c r="T62" s="12">
        <f t="shared" si="4"/>
        <v>-100</v>
      </c>
    </row>
    <row r="63" spans="2:20">
      <c r="B63" s="7" t="s">
        <v>27</v>
      </c>
      <c r="C63" s="4" t="s">
        <v>187</v>
      </c>
      <c r="D63" s="5"/>
      <c r="E63" s="39"/>
      <c r="F63" s="5"/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-300</v>
      </c>
      <c r="Q63" s="12">
        <v>0</v>
      </c>
      <c r="R63" s="12">
        <v>0</v>
      </c>
      <c r="S63" s="12">
        <v>0</v>
      </c>
      <c r="T63" s="12">
        <f t="shared" si="4"/>
        <v>-300</v>
      </c>
    </row>
    <row r="64" spans="2:20">
      <c r="B64" s="7" t="s">
        <v>27</v>
      </c>
      <c r="C64" s="4" t="s">
        <v>188</v>
      </c>
      <c r="D64" s="5"/>
      <c r="E64" s="39"/>
      <c r="F64" s="5"/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-635.97</v>
      </c>
      <c r="R64" s="12">
        <v>0</v>
      </c>
      <c r="S64" s="12">
        <v>0</v>
      </c>
      <c r="T64" s="12">
        <f t="shared" si="4"/>
        <v>-635.97</v>
      </c>
    </row>
    <row r="65" spans="2:20">
      <c r="B65" s="122" t="s">
        <v>27</v>
      </c>
      <c r="C65" s="124" t="s">
        <v>189</v>
      </c>
      <c r="D65" s="120"/>
      <c r="E65" s="133" t="s">
        <v>209</v>
      </c>
      <c r="F65" s="120"/>
      <c r="G65" s="118"/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-666.67</v>
      </c>
      <c r="R65" s="12">
        <v>0</v>
      </c>
      <c r="S65" s="12">
        <v>0</v>
      </c>
      <c r="T65" s="12">
        <f t="shared" si="4"/>
        <v>-666.67</v>
      </c>
    </row>
    <row r="66" spans="2:20">
      <c r="B66" s="7" t="s">
        <v>27</v>
      </c>
      <c r="C66" s="4" t="s">
        <v>175</v>
      </c>
      <c r="D66" s="5"/>
      <c r="E66" s="39"/>
      <c r="F66" s="5"/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-14.07</v>
      </c>
      <c r="R66" s="12">
        <v>0</v>
      </c>
      <c r="S66" s="12">
        <v>0</v>
      </c>
      <c r="T66" s="12">
        <f t="shared" si="4"/>
        <v>-14.07</v>
      </c>
    </row>
    <row r="67" spans="2:20">
      <c r="B67" s="7" t="s">
        <v>27</v>
      </c>
      <c r="C67" s="4" t="s">
        <v>190</v>
      </c>
      <c r="D67" s="5"/>
      <c r="E67" s="39" t="s">
        <v>209</v>
      </c>
      <c r="F67" s="5"/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-4800</v>
      </c>
      <c r="T67" s="12">
        <f t="shared" si="4"/>
        <v>-4800</v>
      </c>
    </row>
    <row r="68" spans="2:20">
      <c r="B68" s="125" t="s">
        <v>30</v>
      </c>
      <c r="C68" s="93" t="s">
        <v>156</v>
      </c>
      <c r="D68" s="89"/>
      <c r="E68" s="108" t="s">
        <v>209</v>
      </c>
      <c r="F68" s="89"/>
      <c r="G68" s="126"/>
      <c r="H68" s="127">
        <v>-6600</v>
      </c>
      <c r="I68" s="127">
        <v>-6600</v>
      </c>
      <c r="J68" s="127">
        <v>-6600</v>
      </c>
      <c r="K68" s="127">
        <v>-6600</v>
      </c>
      <c r="L68" s="127">
        <v>-6600</v>
      </c>
      <c r="M68" s="127">
        <v>-6600</v>
      </c>
      <c r="N68" s="127">
        <v>-6608.58</v>
      </c>
      <c r="O68" s="127">
        <v>-9070.25</v>
      </c>
      <c r="P68" s="127">
        <v>-7000</v>
      </c>
      <c r="Q68" s="127">
        <v>-8223</v>
      </c>
      <c r="R68" s="127">
        <v>-6600</v>
      </c>
      <c r="S68" s="127">
        <v>-6600</v>
      </c>
      <c r="T68" s="127">
        <f t="shared" ref="T68:T93" si="5">SUM(H68:S68)</f>
        <v>-83701.83</v>
      </c>
    </row>
    <row r="69" spans="2:20">
      <c r="B69" s="119" t="s">
        <v>30</v>
      </c>
      <c r="C69" s="124" t="s">
        <v>181</v>
      </c>
      <c r="D69" s="120"/>
      <c r="E69" s="133"/>
      <c r="F69" s="120"/>
      <c r="G69" s="118"/>
      <c r="H69" s="121">
        <v>-100</v>
      </c>
      <c r="I69" s="121">
        <v>0</v>
      </c>
      <c r="J69" s="121">
        <v>0</v>
      </c>
      <c r="K69" s="121">
        <v>0</v>
      </c>
      <c r="L69" s="121">
        <v>0</v>
      </c>
      <c r="M69" s="121">
        <v>0</v>
      </c>
      <c r="N69" s="121">
        <v>0</v>
      </c>
      <c r="O69" s="121">
        <v>0</v>
      </c>
      <c r="P69" s="121">
        <v>0</v>
      </c>
      <c r="Q69" s="121">
        <v>0</v>
      </c>
      <c r="R69" s="121">
        <v>0</v>
      </c>
      <c r="S69" s="121">
        <v>0</v>
      </c>
      <c r="T69" s="121">
        <f t="shared" si="5"/>
        <v>-100</v>
      </c>
    </row>
    <row r="70" spans="2:20">
      <c r="B70" s="14" t="s">
        <v>30</v>
      </c>
      <c r="C70" s="31" t="s">
        <v>191</v>
      </c>
      <c r="D70" s="15"/>
      <c r="E70" s="107"/>
      <c r="F70" s="15"/>
      <c r="G70" s="17"/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-2500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f t="shared" si="5"/>
        <v>-2500</v>
      </c>
    </row>
    <row r="71" spans="2:20">
      <c r="B71" s="7" t="s">
        <v>22</v>
      </c>
      <c r="C71" s="5" t="s">
        <v>31</v>
      </c>
      <c r="D71" s="5"/>
      <c r="E71" s="39" t="s">
        <v>209</v>
      </c>
      <c r="F71" s="5"/>
      <c r="H71" s="12">
        <v>0</v>
      </c>
      <c r="I71" s="12">
        <v>-1950</v>
      </c>
      <c r="J71" s="12">
        <v>-150</v>
      </c>
      <c r="K71" s="12">
        <v>-450</v>
      </c>
      <c r="L71" s="12">
        <v>0</v>
      </c>
      <c r="M71" s="12">
        <v>-600</v>
      </c>
      <c r="N71" s="12">
        <v>600</v>
      </c>
      <c r="O71" s="12">
        <v>-600</v>
      </c>
      <c r="P71" s="12">
        <v>-500</v>
      </c>
      <c r="Q71" s="12">
        <v>500</v>
      </c>
      <c r="R71" s="12">
        <v>-300</v>
      </c>
      <c r="S71" s="12">
        <v>-300</v>
      </c>
      <c r="T71" s="12">
        <f t="shared" si="5"/>
        <v>-3750</v>
      </c>
    </row>
    <row r="72" spans="2:20">
      <c r="B72" s="7" t="s">
        <v>22</v>
      </c>
      <c r="C72" s="4" t="s">
        <v>181</v>
      </c>
      <c r="D72" s="5"/>
      <c r="E72" s="39" t="s">
        <v>209</v>
      </c>
      <c r="F72" s="5"/>
      <c r="H72" s="12">
        <v>-250</v>
      </c>
      <c r="I72" s="12">
        <v>-575</v>
      </c>
      <c r="J72" s="12">
        <v>-10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f t="shared" si="5"/>
        <v>-835</v>
      </c>
    </row>
    <row r="73" spans="2:20">
      <c r="B73" s="7" t="s">
        <v>22</v>
      </c>
      <c r="C73" s="4" t="s">
        <v>192</v>
      </c>
      <c r="D73" s="5"/>
      <c r="E73" s="39"/>
      <c r="F73" s="5"/>
      <c r="H73" s="12">
        <v>-3986.84</v>
      </c>
      <c r="I73" s="12">
        <v>-3986.84</v>
      </c>
      <c r="J73" s="12">
        <v>-3986.84</v>
      </c>
      <c r="K73" s="12">
        <v>-7945.3700000000008</v>
      </c>
      <c r="L73" s="12">
        <v>-15979.69</v>
      </c>
      <c r="M73" s="12">
        <v>-4097.1000000000004</v>
      </c>
      <c r="N73" s="12">
        <v>-4048.55</v>
      </c>
      <c r="O73" s="12">
        <v>-4048.55</v>
      </c>
      <c r="P73" s="12">
        <v>-3003.7900000000009</v>
      </c>
      <c r="Q73" s="12">
        <v>-6007.57</v>
      </c>
      <c r="R73" s="12">
        <v>-16832.57</v>
      </c>
      <c r="S73" s="12">
        <v>-6007.58</v>
      </c>
      <c r="T73" s="12">
        <f t="shared" si="5"/>
        <v>-79931.290000000008</v>
      </c>
    </row>
    <row r="74" spans="2:20">
      <c r="B74" s="122" t="s">
        <v>22</v>
      </c>
      <c r="C74" s="124" t="s">
        <v>21</v>
      </c>
      <c r="D74" s="120"/>
      <c r="E74" s="133" t="s">
        <v>209</v>
      </c>
      <c r="F74" s="120"/>
      <c r="G74" s="118"/>
      <c r="H74" s="12">
        <v>-75826.200000000012</v>
      </c>
      <c r="I74" s="12">
        <v>-53500</v>
      </c>
      <c r="J74" s="12">
        <v>-60130.829999999994</v>
      </c>
      <c r="K74" s="12">
        <v>-45008.480000000003</v>
      </c>
      <c r="L74" s="12">
        <v>-45082.1</v>
      </c>
      <c r="M74" s="12">
        <v>-45002.65</v>
      </c>
      <c r="N74" s="12">
        <v>-55776.070000000007</v>
      </c>
      <c r="O74" s="12">
        <v>-41731.93</v>
      </c>
      <c r="P74" s="12">
        <v>-43350.63</v>
      </c>
      <c r="Q74" s="12">
        <v>-42577.760000000002</v>
      </c>
      <c r="R74" s="12">
        <v>-39590</v>
      </c>
      <c r="S74" s="12">
        <v>-35310</v>
      </c>
      <c r="T74" s="12">
        <f t="shared" si="5"/>
        <v>-582886.65</v>
      </c>
    </row>
    <row r="75" spans="2:20">
      <c r="B75" s="7" t="s">
        <v>22</v>
      </c>
      <c r="C75" s="4" t="s">
        <v>193</v>
      </c>
      <c r="D75" s="5"/>
      <c r="E75" s="39" t="s">
        <v>209</v>
      </c>
      <c r="F75" s="5"/>
      <c r="H75" s="12">
        <v>-400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f t="shared" si="5"/>
        <v>-400</v>
      </c>
    </row>
    <row r="76" spans="2:20">
      <c r="B76" s="7" t="s">
        <v>22</v>
      </c>
      <c r="C76" s="4" t="s">
        <v>194</v>
      </c>
      <c r="D76" s="5"/>
      <c r="E76" s="39" t="s">
        <v>209</v>
      </c>
      <c r="F76" s="5"/>
      <c r="H76" s="12">
        <v>-5537</v>
      </c>
      <c r="I76" s="12">
        <v>-5659.6</v>
      </c>
      <c r="J76" s="12">
        <v>-5586</v>
      </c>
      <c r="K76" s="12">
        <v>-5586</v>
      </c>
      <c r="L76" s="12">
        <v>-5635</v>
      </c>
      <c r="M76" s="12">
        <v>-5635</v>
      </c>
      <c r="N76" s="12">
        <v>-5831</v>
      </c>
      <c r="O76" s="12">
        <v>-5831</v>
      </c>
      <c r="P76" s="12">
        <v>-5782</v>
      </c>
      <c r="Q76" s="12">
        <v>-5880</v>
      </c>
      <c r="R76" s="12">
        <v>0</v>
      </c>
      <c r="S76" s="12">
        <v>0</v>
      </c>
      <c r="T76" s="12">
        <f t="shared" si="5"/>
        <v>-56962.6</v>
      </c>
    </row>
    <row r="77" spans="2:20">
      <c r="B77" s="7" t="s">
        <v>22</v>
      </c>
      <c r="C77" s="4" t="s">
        <v>195</v>
      </c>
      <c r="D77" s="5"/>
      <c r="E77" s="39" t="s">
        <v>209</v>
      </c>
      <c r="F77" s="5"/>
      <c r="H77" s="12">
        <v>0</v>
      </c>
      <c r="I77" s="12">
        <v>-5000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f t="shared" si="5"/>
        <v>-5000</v>
      </c>
    </row>
    <row r="78" spans="2:20">
      <c r="B78" s="7" t="s">
        <v>22</v>
      </c>
      <c r="C78" s="4" t="s">
        <v>16</v>
      </c>
      <c r="D78" s="5"/>
      <c r="E78" s="39"/>
      <c r="F78" s="5"/>
      <c r="H78" s="12">
        <v>0</v>
      </c>
      <c r="I78" s="12">
        <v>0</v>
      </c>
      <c r="J78" s="12">
        <v>-1395.42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f t="shared" si="5"/>
        <v>-1395.42</v>
      </c>
    </row>
    <row r="79" spans="2:20">
      <c r="B79" s="7" t="s">
        <v>22</v>
      </c>
      <c r="C79" s="4" t="s">
        <v>13</v>
      </c>
      <c r="D79" s="5"/>
      <c r="E79" s="39"/>
      <c r="F79" s="5"/>
      <c r="H79" s="12">
        <v>0</v>
      </c>
      <c r="I79" s="12">
        <v>0</v>
      </c>
      <c r="J79" s="12">
        <v>-7.76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f t="shared" si="5"/>
        <v>-7.76</v>
      </c>
    </row>
    <row r="80" spans="2:20">
      <c r="B80" s="7" t="s">
        <v>22</v>
      </c>
      <c r="C80" s="4" t="s">
        <v>196</v>
      </c>
      <c r="D80" s="5"/>
      <c r="E80" s="39" t="s">
        <v>209</v>
      </c>
      <c r="F80" s="5"/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-3600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f t="shared" si="5"/>
        <v>-3600</v>
      </c>
    </row>
    <row r="81" spans="1:20">
      <c r="B81" s="7" t="s">
        <v>22</v>
      </c>
      <c r="C81" s="4" t="s">
        <v>171</v>
      </c>
      <c r="D81" s="5"/>
      <c r="E81" s="39" t="s">
        <v>209</v>
      </c>
      <c r="F81" s="5"/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-1177.93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f t="shared" si="5"/>
        <v>-1177.93</v>
      </c>
    </row>
    <row r="82" spans="1:20">
      <c r="B82" s="7" t="s">
        <v>22</v>
      </c>
      <c r="C82" s="4" t="s">
        <v>197</v>
      </c>
      <c r="D82" s="5"/>
      <c r="E82" s="39" t="s">
        <v>209</v>
      </c>
      <c r="F82" s="5"/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-5000</v>
      </c>
      <c r="P82" s="12">
        <v>0</v>
      </c>
      <c r="Q82" s="12">
        <v>0</v>
      </c>
      <c r="R82" s="12">
        <v>0</v>
      </c>
      <c r="S82" s="12">
        <v>0</v>
      </c>
      <c r="T82" s="12">
        <f t="shared" si="5"/>
        <v>-5000</v>
      </c>
    </row>
    <row r="83" spans="1:20">
      <c r="B83" s="7" t="s">
        <v>22</v>
      </c>
      <c r="C83" s="4" t="s">
        <v>198</v>
      </c>
      <c r="D83" s="5"/>
      <c r="E83" s="39" t="s">
        <v>209</v>
      </c>
      <c r="F83" s="5"/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-500</v>
      </c>
      <c r="R83" s="12">
        <v>0</v>
      </c>
      <c r="S83" s="12">
        <v>0</v>
      </c>
      <c r="T83" s="12">
        <f t="shared" si="5"/>
        <v>-500</v>
      </c>
    </row>
    <row r="84" spans="1:20">
      <c r="B84" s="122" t="s">
        <v>22</v>
      </c>
      <c r="C84" s="124" t="s">
        <v>177</v>
      </c>
      <c r="D84" s="120"/>
      <c r="E84" s="133" t="s">
        <v>209</v>
      </c>
      <c r="F84" s="120"/>
      <c r="G84" s="118"/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-1000</v>
      </c>
      <c r="T84" s="12">
        <f t="shared" si="5"/>
        <v>-1000</v>
      </c>
    </row>
    <row r="85" spans="1:20">
      <c r="A85" s="24"/>
      <c r="B85" s="14" t="s">
        <v>22</v>
      </c>
      <c r="C85" s="15" t="s">
        <v>38</v>
      </c>
      <c r="D85" s="15"/>
      <c r="E85" s="107"/>
      <c r="F85" s="15"/>
      <c r="G85" s="17"/>
      <c r="H85" s="16">
        <v>0</v>
      </c>
      <c r="I85" s="16">
        <v>-2875.01</v>
      </c>
      <c r="J85" s="16">
        <v>0</v>
      </c>
      <c r="K85" s="16">
        <v>0</v>
      </c>
      <c r="L85" s="16">
        <v>-958.34000000000015</v>
      </c>
      <c r="M85" s="16">
        <v>-958.34</v>
      </c>
      <c r="N85" s="16">
        <v>-958.33</v>
      </c>
      <c r="O85" s="16">
        <v>0</v>
      </c>
      <c r="P85" s="16">
        <v>-2875.02</v>
      </c>
      <c r="Q85" s="16">
        <v>0</v>
      </c>
      <c r="R85" s="16">
        <v>-479.17</v>
      </c>
      <c r="S85" s="16">
        <v>-958.34</v>
      </c>
      <c r="T85" s="16">
        <f t="shared" si="5"/>
        <v>-10062.550000000001</v>
      </c>
    </row>
    <row r="86" spans="1:20">
      <c r="B86" s="7" t="s">
        <v>32</v>
      </c>
      <c r="C86" s="5" t="s">
        <v>35</v>
      </c>
      <c r="D86" s="5"/>
      <c r="E86" s="39"/>
      <c r="F86" s="5"/>
      <c r="H86" s="12">
        <v>0</v>
      </c>
      <c r="I86" s="12">
        <v>0</v>
      </c>
      <c r="J86" s="12">
        <v>-753.43000000000006</v>
      </c>
      <c r="K86" s="12">
        <v>-255.78</v>
      </c>
      <c r="L86" s="12">
        <v>-252.51</v>
      </c>
      <c r="M86" s="12">
        <v>-253.83</v>
      </c>
      <c r="N86" s="12">
        <v>-282.49</v>
      </c>
      <c r="O86" s="12">
        <v>-269.02999999999997</v>
      </c>
      <c r="P86" s="12">
        <v>-270.14</v>
      </c>
      <c r="Q86" s="12">
        <v>-323.76</v>
      </c>
      <c r="R86" s="12">
        <v>-323.88</v>
      </c>
      <c r="S86" s="12">
        <v>-296.01</v>
      </c>
      <c r="T86" s="12">
        <f t="shared" si="5"/>
        <v>-3280.8599999999997</v>
      </c>
    </row>
    <row r="87" spans="1:20">
      <c r="B87" s="7" t="s">
        <v>32</v>
      </c>
      <c r="C87" s="5" t="s">
        <v>109</v>
      </c>
      <c r="D87" s="5"/>
      <c r="E87" s="39"/>
      <c r="F87" s="5"/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-4600</v>
      </c>
      <c r="S87" s="12">
        <v>0</v>
      </c>
      <c r="T87" s="12">
        <f t="shared" si="5"/>
        <v>-4600</v>
      </c>
    </row>
    <row r="88" spans="1:20">
      <c r="B88" s="7" t="s">
        <v>32</v>
      </c>
      <c r="C88" s="4" t="s">
        <v>130</v>
      </c>
      <c r="D88" s="5"/>
      <c r="E88" s="39"/>
      <c r="F88" s="5"/>
      <c r="H88" s="12">
        <v>0</v>
      </c>
      <c r="I88" s="12">
        <v>0</v>
      </c>
      <c r="J88" s="12">
        <v>0</v>
      </c>
      <c r="K88" s="12">
        <v>-108</v>
      </c>
      <c r="L88" s="12">
        <v>-108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f t="shared" si="5"/>
        <v>-216</v>
      </c>
    </row>
    <row r="89" spans="1:20">
      <c r="B89" s="7" t="s">
        <v>32</v>
      </c>
      <c r="C89" s="4" t="s">
        <v>157</v>
      </c>
      <c r="D89" s="5"/>
      <c r="E89" s="39"/>
      <c r="F89" s="5"/>
      <c r="H89" s="12">
        <v>-1312.5</v>
      </c>
      <c r="I89" s="12">
        <v>-2656.25</v>
      </c>
      <c r="J89" s="12">
        <v>-2375</v>
      </c>
      <c r="K89" s="12">
        <v>-4562.5</v>
      </c>
      <c r="L89" s="12">
        <v>-3937.5</v>
      </c>
      <c r="M89" s="12">
        <v>-6062.5</v>
      </c>
      <c r="N89" s="12">
        <v>-3125</v>
      </c>
      <c r="O89" s="12">
        <v>-750</v>
      </c>
      <c r="P89" s="12">
        <v>-2562.5</v>
      </c>
      <c r="Q89" s="12">
        <v>-3062.5</v>
      </c>
      <c r="R89" s="12">
        <v>-2375</v>
      </c>
      <c r="S89" s="12">
        <v>-500</v>
      </c>
      <c r="T89" s="12">
        <f t="shared" si="5"/>
        <v>-33281.25</v>
      </c>
    </row>
    <row r="90" spans="1:20">
      <c r="B90" s="7" t="s">
        <v>32</v>
      </c>
      <c r="C90" s="4" t="s">
        <v>29</v>
      </c>
      <c r="D90" s="5"/>
      <c r="E90" s="39"/>
      <c r="F90" s="5"/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f t="shared" si="5"/>
        <v>0</v>
      </c>
    </row>
    <row r="91" spans="1:20">
      <c r="B91" s="7" t="s">
        <v>32</v>
      </c>
      <c r="C91" s="4" t="s">
        <v>199</v>
      </c>
      <c r="D91" s="5"/>
      <c r="E91" s="39"/>
      <c r="F91" s="5"/>
      <c r="H91" s="12">
        <v>-906.46999999999991</v>
      </c>
      <c r="I91" s="12">
        <v>-833.47</v>
      </c>
      <c r="J91" s="12">
        <v>-832.24</v>
      </c>
      <c r="K91" s="12">
        <v>-794.16</v>
      </c>
      <c r="L91" s="12">
        <v>-811.67</v>
      </c>
      <c r="M91" s="12">
        <v>-759.23</v>
      </c>
      <c r="N91" s="12">
        <v>-783.69</v>
      </c>
      <c r="O91" s="12">
        <v>-909.75</v>
      </c>
      <c r="P91" s="12">
        <v>-305.23</v>
      </c>
      <c r="Q91" s="12">
        <v>0</v>
      </c>
      <c r="R91" s="12">
        <v>0</v>
      </c>
      <c r="S91" s="12">
        <v>0</v>
      </c>
      <c r="T91" s="12">
        <f t="shared" si="5"/>
        <v>-6935.91</v>
      </c>
    </row>
    <row r="92" spans="1:20">
      <c r="B92" s="7" t="s">
        <v>32</v>
      </c>
      <c r="C92" s="4" t="s">
        <v>16</v>
      </c>
      <c r="D92" s="5"/>
      <c r="E92" s="39"/>
      <c r="F92" s="5"/>
      <c r="H92" s="12">
        <v>0</v>
      </c>
      <c r="I92" s="12">
        <v>-1894.38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f t="shared" si="5"/>
        <v>-1894.38</v>
      </c>
    </row>
    <row r="93" spans="1:20">
      <c r="B93" s="7" t="s">
        <v>32</v>
      </c>
      <c r="C93" s="4" t="s">
        <v>24</v>
      </c>
      <c r="D93" s="5"/>
      <c r="E93" s="39"/>
      <c r="F93" s="5"/>
      <c r="H93" s="12">
        <v>0</v>
      </c>
      <c r="I93" s="12">
        <v>0</v>
      </c>
      <c r="J93" s="12">
        <v>0</v>
      </c>
      <c r="K93" s="12">
        <v>0</v>
      </c>
      <c r="L93" s="12">
        <v>-120</v>
      </c>
      <c r="M93" s="12">
        <v>0</v>
      </c>
      <c r="N93" s="12">
        <v>0</v>
      </c>
      <c r="O93" s="12">
        <v>0</v>
      </c>
      <c r="P93" s="12">
        <v>0</v>
      </c>
      <c r="Q93" s="12">
        <v>0</v>
      </c>
      <c r="R93" s="12">
        <v>0</v>
      </c>
      <c r="S93" s="12">
        <v>0</v>
      </c>
      <c r="T93" s="12">
        <f t="shared" si="5"/>
        <v>-120</v>
      </c>
    </row>
    <row r="94" spans="1:20">
      <c r="B94" s="19" t="s">
        <v>54</v>
      </c>
      <c r="C94" s="19"/>
      <c r="D94" s="19"/>
      <c r="E94" s="131"/>
      <c r="F94" s="19"/>
      <c r="G94" s="20"/>
      <c r="H94" s="22">
        <f t="shared" ref="H94:T94" si="6">SUM(H9:H93)</f>
        <v>-193695.87000000002</v>
      </c>
      <c r="I94" s="22">
        <f t="shared" si="6"/>
        <v>-151818.39000000001</v>
      </c>
      <c r="J94" s="22">
        <f t="shared" si="6"/>
        <v>-330168.23</v>
      </c>
      <c r="K94" s="22">
        <f t="shared" si="6"/>
        <v>-156428.44000000003</v>
      </c>
      <c r="L94" s="22">
        <f t="shared" si="6"/>
        <v>-173619.45</v>
      </c>
      <c r="M94" s="22">
        <f t="shared" si="6"/>
        <v>-172802.61000000002</v>
      </c>
      <c r="N94" s="22">
        <f t="shared" si="6"/>
        <v>-241811.94999999995</v>
      </c>
      <c r="O94" s="22">
        <f t="shared" si="6"/>
        <v>-284818.13000000006</v>
      </c>
      <c r="P94" s="22">
        <f t="shared" si="6"/>
        <v>-164532.78000000003</v>
      </c>
      <c r="Q94" s="22">
        <f t="shared" si="6"/>
        <v>-199316.77000000002</v>
      </c>
      <c r="R94" s="22">
        <f t="shared" si="6"/>
        <v>-163181.76000000004</v>
      </c>
      <c r="S94" s="22">
        <f t="shared" si="6"/>
        <v>-131694.48000000001</v>
      </c>
      <c r="T94" s="22">
        <f t="shared" si="6"/>
        <v>-2363888.86</v>
      </c>
    </row>
    <row r="95" spans="1:20">
      <c r="B95" s="7" t="s">
        <v>36</v>
      </c>
      <c r="C95" s="5" t="s">
        <v>46</v>
      </c>
      <c r="D95" s="5"/>
      <c r="H95" s="12">
        <v>37845.989999999991</v>
      </c>
      <c r="I95" s="12">
        <v>1244.8300000000163</v>
      </c>
      <c r="J95" s="12">
        <v>172021.91999999998</v>
      </c>
      <c r="K95" s="12">
        <v>-3290.8799999999756</v>
      </c>
      <c r="L95" s="12">
        <v>12575.050000000017</v>
      </c>
      <c r="M95" s="12">
        <v>18267.09</v>
      </c>
      <c r="N95" s="12">
        <v>71776.189999999944</v>
      </c>
      <c r="O95" s="12">
        <v>120021.10000000006</v>
      </c>
      <c r="P95" s="12">
        <v>-75942.719999999972</v>
      </c>
      <c r="Q95" s="12">
        <v>-47630.350000000006</v>
      </c>
      <c r="R95" s="12">
        <v>-68288.33</v>
      </c>
      <c r="S95" s="12">
        <v>-130782.16</v>
      </c>
      <c r="T95" s="12">
        <f t="shared" ref="T95" si="7">SUM(H95:S95)</f>
        <v>107817.73000000007</v>
      </c>
    </row>
    <row r="96" spans="1:20">
      <c r="B96" s="9" t="s">
        <v>50</v>
      </c>
      <c r="C96" s="5"/>
      <c r="D96" s="5"/>
      <c r="E96" s="39"/>
      <c r="F96" s="5"/>
      <c r="H96" s="12">
        <f t="shared" ref="H96:T96" si="8">H7+H94+H95</f>
        <v>0</v>
      </c>
      <c r="I96" s="12">
        <f t="shared" si="8"/>
        <v>0</v>
      </c>
      <c r="J96" s="12">
        <f t="shared" si="8"/>
        <v>0</v>
      </c>
      <c r="K96" s="12">
        <f t="shared" si="8"/>
        <v>0</v>
      </c>
      <c r="L96" s="12">
        <f t="shared" si="8"/>
        <v>0</v>
      </c>
      <c r="M96" s="12">
        <f t="shared" si="8"/>
        <v>0</v>
      </c>
      <c r="N96" s="12">
        <f t="shared" si="8"/>
        <v>0</v>
      </c>
      <c r="O96" s="12">
        <f t="shared" si="8"/>
        <v>0</v>
      </c>
      <c r="P96" s="12">
        <f t="shared" si="8"/>
        <v>0</v>
      </c>
      <c r="Q96" s="12">
        <f t="shared" si="8"/>
        <v>0</v>
      </c>
      <c r="R96" s="12">
        <f t="shared" si="8"/>
        <v>0</v>
      </c>
      <c r="S96" s="12">
        <f t="shared" si="8"/>
        <v>0</v>
      </c>
      <c r="T96" s="12">
        <f t="shared" si="8"/>
        <v>0</v>
      </c>
    </row>
    <row r="97" spans="2:21">
      <c r="B97" s="9"/>
      <c r="C97" s="5"/>
      <c r="D97" s="5"/>
      <c r="E97" s="39"/>
      <c r="F97" s="5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</row>
    <row r="98" spans="2:21" ht="8.35" customHeight="1">
      <c r="B98" s="9"/>
      <c r="C98" s="5"/>
      <c r="D98" s="5"/>
      <c r="E98" s="39"/>
      <c r="F98" s="5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</row>
    <row r="99" spans="2:21">
      <c r="B99" s="60" t="s">
        <v>249</v>
      </c>
      <c r="C99" s="61"/>
      <c r="D99" s="61"/>
      <c r="E99" s="101"/>
      <c r="F99" s="101"/>
      <c r="G99" s="62"/>
      <c r="H99" s="21">
        <f>SUM(H7,H94)</f>
        <v>-37845.99000000002</v>
      </c>
      <c r="I99" s="21">
        <f t="shared" ref="I99:S99" si="9">SUM(I7,I94)</f>
        <v>-1244.8300000000163</v>
      </c>
      <c r="J99" s="21">
        <f t="shared" si="9"/>
        <v>-172021.91999999998</v>
      </c>
      <c r="K99" s="21">
        <f t="shared" si="9"/>
        <v>3290.8799999999756</v>
      </c>
      <c r="L99" s="21">
        <f t="shared" si="9"/>
        <v>-12575.050000000017</v>
      </c>
      <c r="M99" s="21">
        <f t="shared" si="9"/>
        <v>-18267.090000000026</v>
      </c>
      <c r="N99" s="21">
        <f t="shared" si="9"/>
        <v>-71776.189999999944</v>
      </c>
      <c r="O99" s="21">
        <f t="shared" si="9"/>
        <v>-120021.10000000006</v>
      </c>
      <c r="P99" s="21">
        <f t="shared" si="9"/>
        <v>75942.719999999972</v>
      </c>
      <c r="Q99" s="21">
        <f t="shared" si="9"/>
        <v>47630.350000000006</v>
      </c>
      <c r="R99" s="21">
        <f t="shared" si="9"/>
        <v>68288.329999999958</v>
      </c>
      <c r="S99" s="21">
        <f t="shared" si="9"/>
        <v>130782.16</v>
      </c>
      <c r="T99" s="21">
        <f t="shared" ref="T99" si="10">SUM(H99:S99)</f>
        <v>-107817.73000000024</v>
      </c>
    </row>
    <row r="101" spans="2:21" ht="15.6" customHeight="1"/>
    <row r="108" spans="2:21" s="49" customFormat="1">
      <c r="B108" s="60" t="s">
        <v>209</v>
      </c>
      <c r="C108" s="61"/>
      <c r="D108" s="61"/>
      <c r="E108" s="101"/>
      <c r="F108" s="61"/>
      <c r="G108" s="63"/>
      <c r="H108" s="42">
        <f>SUMIF($E$8:$E$102,$B108,H$8:H$102)</f>
        <v>-88613.200000000012</v>
      </c>
      <c r="I108" s="42">
        <f t="shared" ref="I108:S108" si="11">SUMIF($E$8:$E$102,$B108,I$8:I$102)</f>
        <v>-73284.600000000006</v>
      </c>
      <c r="J108" s="42">
        <f t="shared" si="11"/>
        <v>-239290.33</v>
      </c>
      <c r="K108" s="42">
        <f t="shared" si="11"/>
        <v>-57644.480000000003</v>
      </c>
      <c r="L108" s="42">
        <f t="shared" si="11"/>
        <v>-57317.1</v>
      </c>
      <c r="M108" s="42">
        <f t="shared" si="11"/>
        <v>-64512.65</v>
      </c>
      <c r="N108" s="42">
        <f t="shared" si="11"/>
        <v>-106299.58</v>
      </c>
      <c r="O108" s="42">
        <f t="shared" si="11"/>
        <v>-88574.18</v>
      </c>
      <c r="P108" s="42">
        <f t="shared" si="11"/>
        <v>-56807.63</v>
      </c>
      <c r="Q108" s="42">
        <f t="shared" si="11"/>
        <v>-57372.43</v>
      </c>
      <c r="R108" s="42">
        <f t="shared" si="11"/>
        <v>-46490</v>
      </c>
      <c r="S108" s="42">
        <f t="shared" si="11"/>
        <v>-53866.43</v>
      </c>
      <c r="T108" s="42">
        <f t="shared" ref="T108:T109" si="12">SUM(H108:S108)</f>
        <v>-990072.61</v>
      </c>
      <c r="U108" s="111"/>
    </row>
    <row r="109" spans="2:21" s="49" customFormat="1">
      <c r="B109" s="60" t="s">
        <v>375</v>
      </c>
      <c r="C109" s="61"/>
      <c r="D109" s="61"/>
      <c r="E109" s="101"/>
      <c r="F109" s="61"/>
      <c r="G109" s="63"/>
      <c r="H109" s="42">
        <f>H94-H108</f>
        <v>-105082.67000000001</v>
      </c>
      <c r="I109" s="42">
        <f t="shared" ref="I109:S109" si="13">I94-I108</f>
        <v>-78533.790000000008</v>
      </c>
      <c r="J109" s="42">
        <f t="shared" si="13"/>
        <v>-90877.9</v>
      </c>
      <c r="K109" s="42">
        <f t="shared" si="13"/>
        <v>-98783.960000000021</v>
      </c>
      <c r="L109" s="42">
        <f t="shared" si="13"/>
        <v>-116302.35</v>
      </c>
      <c r="M109" s="42">
        <f t="shared" si="13"/>
        <v>-108289.96000000002</v>
      </c>
      <c r="N109" s="42">
        <f t="shared" si="13"/>
        <v>-135512.36999999994</v>
      </c>
      <c r="O109" s="42">
        <f t="shared" si="13"/>
        <v>-196243.95000000007</v>
      </c>
      <c r="P109" s="42">
        <f t="shared" si="13"/>
        <v>-107725.15000000002</v>
      </c>
      <c r="Q109" s="42">
        <f t="shared" si="13"/>
        <v>-141944.34000000003</v>
      </c>
      <c r="R109" s="42">
        <f t="shared" si="13"/>
        <v>-116691.76000000004</v>
      </c>
      <c r="S109" s="42">
        <f t="shared" si="13"/>
        <v>-77828.050000000017</v>
      </c>
      <c r="T109" s="42">
        <f t="shared" si="12"/>
        <v>-1373816.2500000002</v>
      </c>
      <c r="U109" s="111"/>
    </row>
    <row r="110" spans="2:21" s="49" customFormat="1" ht="6.05" customHeight="1">
      <c r="E110" s="55"/>
      <c r="G110" s="50"/>
      <c r="U110" s="111"/>
    </row>
    <row r="111" spans="2:21" s="49" customFormat="1">
      <c r="B111" s="60" t="s">
        <v>362</v>
      </c>
      <c r="C111" s="61"/>
      <c r="D111" s="61"/>
      <c r="E111" s="101"/>
      <c r="F111" s="61"/>
      <c r="G111" s="63"/>
      <c r="H111" s="42">
        <f>SUMIF($F$8:$F$102,$B111,H$8:H$102)</f>
        <v>0</v>
      </c>
      <c r="I111" s="42">
        <f t="shared" ref="I111:S111" si="14">SUMIF($F$8:$F$102,$B111,I$8:I$102)</f>
        <v>0</v>
      </c>
      <c r="J111" s="42">
        <f t="shared" si="14"/>
        <v>-166813.5</v>
      </c>
      <c r="K111" s="42">
        <f t="shared" si="14"/>
        <v>0</v>
      </c>
      <c r="L111" s="42">
        <f t="shared" si="14"/>
        <v>0</v>
      </c>
      <c r="M111" s="42">
        <f t="shared" si="14"/>
        <v>0</v>
      </c>
      <c r="N111" s="42">
        <f t="shared" si="14"/>
        <v>-37506</v>
      </c>
      <c r="O111" s="42">
        <f t="shared" si="14"/>
        <v>-26341</v>
      </c>
      <c r="P111" s="42">
        <f t="shared" si="14"/>
        <v>0</v>
      </c>
      <c r="Q111" s="42">
        <f t="shared" si="14"/>
        <v>0</v>
      </c>
      <c r="R111" s="42">
        <f t="shared" si="14"/>
        <v>0</v>
      </c>
      <c r="S111" s="42">
        <f t="shared" si="14"/>
        <v>0</v>
      </c>
      <c r="T111" s="42">
        <f t="shared" ref="T111" si="15">SUM(H111:S111)</f>
        <v>-230660.5</v>
      </c>
      <c r="U111" s="111"/>
    </row>
  </sheetData>
  <mergeCells count="6">
    <mergeCell ref="H2:S2"/>
    <mergeCell ref="B2:B3"/>
    <mergeCell ref="D2:D3"/>
    <mergeCell ref="F2:F3"/>
    <mergeCell ref="E2:E3"/>
    <mergeCell ref="C2:C3"/>
  </mergeCells>
  <phoneticPr fontId="14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94803-090E-46FF-81CA-FDD53C0C113D}">
  <dimension ref="A1:U111"/>
  <sheetViews>
    <sheetView showGridLines="0" zoomScale="85" zoomScaleNormal="85" workbookViewId="0"/>
  </sheetViews>
  <sheetFormatPr defaultColWidth="8.796875" defaultRowHeight="14" outlineLevelRow="1"/>
  <cols>
    <col min="1" max="1" width="1.09765625" style="1" customWidth="1"/>
    <col min="2" max="2" width="26" style="1" customWidth="1"/>
    <col min="3" max="3" width="31.5" style="1" customWidth="1"/>
    <col min="4" max="4" width="29.796875" style="1" customWidth="1"/>
    <col min="5" max="5" width="11.5" style="129" customWidth="1"/>
    <col min="6" max="6" width="16.69921875" style="1" customWidth="1"/>
    <col min="7" max="7" width="0.8984375" style="10" customWidth="1"/>
    <col min="8" max="18" width="9" style="12" bestFit="1" customWidth="1"/>
    <col min="19" max="19" width="11.69921875" style="12" customWidth="1"/>
    <col min="20" max="20" width="13.5" style="1" bestFit="1" customWidth="1"/>
    <col min="21" max="16384" width="8.796875" style="117"/>
  </cols>
  <sheetData>
    <row r="1" spans="1:20" ht="6.6" customHeight="1"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3"/>
    </row>
    <row r="2" spans="1:20" ht="10.75" customHeight="1">
      <c r="B2" s="174" t="s">
        <v>0</v>
      </c>
      <c r="C2" s="174" t="s">
        <v>47</v>
      </c>
      <c r="D2" s="174" t="s">
        <v>100</v>
      </c>
      <c r="E2" s="174" t="s">
        <v>53</v>
      </c>
      <c r="F2" s="174" t="s">
        <v>361</v>
      </c>
      <c r="H2" s="175" t="s">
        <v>51</v>
      </c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53"/>
    </row>
    <row r="3" spans="1:20" ht="10.75" customHeight="1">
      <c r="B3" s="174"/>
      <c r="C3" s="174"/>
      <c r="D3" s="174"/>
      <c r="E3" s="174"/>
      <c r="F3" s="174"/>
      <c r="H3" s="100" t="s">
        <v>293</v>
      </c>
      <c r="I3" s="100" t="s">
        <v>294</v>
      </c>
      <c r="J3" s="100" t="s">
        <v>295</v>
      </c>
      <c r="K3" s="100" t="s">
        <v>296</v>
      </c>
      <c r="L3" s="100" t="s">
        <v>297</v>
      </c>
      <c r="M3" s="100" t="s">
        <v>298</v>
      </c>
      <c r="N3" s="100" t="s">
        <v>299</v>
      </c>
      <c r="O3" s="100" t="s">
        <v>300</v>
      </c>
      <c r="P3" s="100" t="s">
        <v>301</v>
      </c>
      <c r="Q3" s="100" t="s">
        <v>302</v>
      </c>
      <c r="R3" s="100" t="s">
        <v>303</v>
      </c>
      <c r="S3" s="100" t="s">
        <v>304</v>
      </c>
      <c r="T3" s="52" t="s">
        <v>330</v>
      </c>
    </row>
    <row r="4" spans="1:20">
      <c r="B4" s="6" t="s">
        <v>1</v>
      </c>
      <c r="H4" s="12">
        <v>248329.28</v>
      </c>
      <c r="I4" s="12">
        <v>236326.01</v>
      </c>
      <c r="J4" s="12">
        <v>257519.35999999999</v>
      </c>
      <c r="K4" s="12">
        <v>255502.1</v>
      </c>
      <c r="L4" s="12">
        <v>253027.04</v>
      </c>
      <c r="M4" s="12">
        <v>195352.25</v>
      </c>
      <c r="N4" s="12">
        <v>172611.77</v>
      </c>
      <c r="O4" s="12">
        <v>227060.19</v>
      </c>
      <c r="P4" s="12">
        <v>243837.32</v>
      </c>
      <c r="Q4" s="12">
        <v>242625.91</v>
      </c>
      <c r="R4" s="12">
        <v>236007.16</v>
      </c>
      <c r="S4" s="12">
        <v>272029.42</v>
      </c>
      <c r="T4" s="12">
        <f>SUM(H4:S4)</f>
        <v>2840227.81</v>
      </c>
    </row>
    <row r="5" spans="1:20">
      <c r="B5" s="8" t="s">
        <v>48</v>
      </c>
      <c r="H5" s="12">
        <v>0</v>
      </c>
      <c r="I5" s="12">
        <v>0</v>
      </c>
      <c r="J5" s="12">
        <v>35000</v>
      </c>
      <c r="K5" s="12">
        <v>0</v>
      </c>
      <c r="L5" s="12">
        <v>0</v>
      </c>
      <c r="M5" s="12">
        <v>0</v>
      </c>
      <c r="N5" s="12">
        <v>0</v>
      </c>
      <c r="O5" s="12">
        <v>7000</v>
      </c>
      <c r="P5" s="12">
        <v>0</v>
      </c>
      <c r="Q5" s="12">
        <v>0</v>
      </c>
      <c r="R5" s="12">
        <v>29113.040000000001</v>
      </c>
      <c r="S5" s="12">
        <v>0</v>
      </c>
      <c r="T5" s="12">
        <f t="shared" ref="T5:T6" si="0">SUM(H5:S5)</f>
        <v>71113.040000000008</v>
      </c>
    </row>
    <row r="6" spans="1:20">
      <c r="B6" s="8" t="s">
        <v>49</v>
      </c>
      <c r="E6" s="130"/>
      <c r="F6" s="33"/>
      <c r="H6" s="12">
        <v>213.08</v>
      </c>
      <c r="I6" s="12">
        <v>265.57</v>
      </c>
      <c r="J6" s="12">
        <v>2082.62</v>
      </c>
      <c r="K6" s="12">
        <v>486.59</v>
      </c>
      <c r="L6" s="12">
        <v>740.13</v>
      </c>
      <c r="M6" s="12">
        <v>1519.62</v>
      </c>
      <c r="N6" s="12">
        <v>17.41</v>
      </c>
      <c r="O6" s="12">
        <v>95.97</v>
      </c>
      <c r="P6" s="12">
        <v>451.91</v>
      </c>
      <c r="Q6" s="12">
        <v>40.659999999999997</v>
      </c>
      <c r="R6" s="12">
        <v>5590.78</v>
      </c>
      <c r="S6" s="12">
        <v>0</v>
      </c>
      <c r="T6" s="12">
        <f t="shared" si="0"/>
        <v>11504.34</v>
      </c>
    </row>
    <row r="7" spans="1:20">
      <c r="B7" s="18" t="s">
        <v>52</v>
      </c>
      <c r="C7" s="19"/>
      <c r="D7" s="19"/>
      <c r="E7" s="131"/>
      <c r="F7" s="19"/>
      <c r="G7" s="20"/>
      <c r="H7" s="21">
        <f t="shared" ref="H7:S7" si="1">SUM(H4:H6)</f>
        <v>248542.36</v>
      </c>
      <c r="I7" s="21">
        <f t="shared" si="1"/>
        <v>236591.58000000002</v>
      </c>
      <c r="J7" s="21">
        <f t="shared" si="1"/>
        <v>294601.98</v>
      </c>
      <c r="K7" s="21">
        <f t="shared" si="1"/>
        <v>255988.69</v>
      </c>
      <c r="L7" s="21">
        <f t="shared" si="1"/>
        <v>253767.17</v>
      </c>
      <c r="M7" s="21">
        <f t="shared" si="1"/>
        <v>196871.87</v>
      </c>
      <c r="N7" s="21">
        <f t="shared" si="1"/>
        <v>172629.18</v>
      </c>
      <c r="O7" s="21">
        <f t="shared" si="1"/>
        <v>234156.16</v>
      </c>
      <c r="P7" s="21">
        <f t="shared" si="1"/>
        <v>244289.23</v>
      </c>
      <c r="Q7" s="21">
        <f t="shared" si="1"/>
        <v>242666.57</v>
      </c>
      <c r="R7" s="21">
        <f t="shared" si="1"/>
        <v>270710.98000000004</v>
      </c>
      <c r="S7" s="21">
        <f t="shared" si="1"/>
        <v>272029.42</v>
      </c>
      <c r="T7" s="21">
        <f>SUM(T4:T6)</f>
        <v>2922845.19</v>
      </c>
    </row>
    <row r="8" spans="1:20" ht="9" customHeight="1">
      <c r="T8" s="12"/>
    </row>
    <row r="9" spans="1:20">
      <c r="B9" s="2" t="s">
        <v>39</v>
      </c>
      <c r="C9" s="5" t="s">
        <v>21</v>
      </c>
      <c r="D9" s="5" t="s">
        <v>99</v>
      </c>
      <c r="E9" s="39"/>
      <c r="F9" s="5"/>
      <c r="G9" s="11"/>
      <c r="H9" s="12">
        <v>-4000</v>
      </c>
      <c r="I9" s="12">
        <v>-4000</v>
      </c>
      <c r="J9" s="12">
        <v>-4000</v>
      </c>
      <c r="K9" s="12">
        <v>-4000</v>
      </c>
      <c r="L9" s="12">
        <v>-4000</v>
      </c>
      <c r="M9" s="12">
        <v>-4000</v>
      </c>
      <c r="N9" s="12">
        <v>-4000</v>
      </c>
      <c r="O9" s="12">
        <v>-4000</v>
      </c>
      <c r="P9" s="12">
        <v>-3999.9999999999995</v>
      </c>
      <c r="Q9" s="12">
        <v>-4000</v>
      </c>
      <c r="R9" s="12">
        <v>-4000</v>
      </c>
      <c r="S9" s="12">
        <v>-4000</v>
      </c>
      <c r="T9" s="12">
        <f t="shared" ref="T9:T26" si="2">SUM(H9:S9)</f>
        <v>-48000</v>
      </c>
    </row>
    <row r="10" spans="1:20">
      <c r="B10" s="4" t="s">
        <v>39</v>
      </c>
      <c r="C10" s="5" t="s">
        <v>11</v>
      </c>
      <c r="D10" s="5"/>
      <c r="E10" s="39"/>
      <c r="F10" s="5"/>
      <c r="G10" s="11"/>
      <c r="H10" s="12">
        <v>-10000</v>
      </c>
      <c r="I10" s="12">
        <v>-10000</v>
      </c>
      <c r="J10" s="12">
        <v>-10000</v>
      </c>
      <c r="K10" s="12">
        <v>-10000</v>
      </c>
      <c r="L10" s="12">
        <v>-10000</v>
      </c>
      <c r="M10" s="12">
        <v>-10000</v>
      </c>
      <c r="N10" s="12">
        <v>-10000</v>
      </c>
      <c r="O10" s="12">
        <v>-10000</v>
      </c>
      <c r="P10" s="12">
        <v>-10000</v>
      </c>
      <c r="Q10" s="12">
        <v>-10000</v>
      </c>
      <c r="R10" s="12">
        <v>-10000</v>
      </c>
      <c r="S10" s="12">
        <v>-10000</v>
      </c>
      <c r="T10" s="12">
        <f t="shared" si="2"/>
        <v>-120000</v>
      </c>
    </row>
    <row r="11" spans="1:20">
      <c r="A11" s="38"/>
      <c r="B11" s="34" t="s">
        <v>39</v>
      </c>
      <c r="C11" s="35" t="s">
        <v>15</v>
      </c>
      <c r="D11" s="35" t="s">
        <v>73</v>
      </c>
      <c r="E11" s="132"/>
      <c r="F11" s="35"/>
      <c r="G11" s="36"/>
      <c r="H11" s="37">
        <v>0</v>
      </c>
      <c r="I11" s="37">
        <v>-7955</v>
      </c>
      <c r="J11" s="37">
        <v>-12570</v>
      </c>
      <c r="K11" s="37">
        <v>-12570</v>
      </c>
      <c r="L11" s="37">
        <v>-13984.96</v>
      </c>
      <c r="M11" s="37">
        <v>-13225.5</v>
      </c>
      <c r="N11" s="37">
        <v>-12570</v>
      </c>
      <c r="O11" s="37">
        <v>-12570</v>
      </c>
      <c r="P11" s="37">
        <v>-12570</v>
      </c>
      <c r="Q11" s="37">
        <v>-13225.5</v>
      </c>
      <c r="R11" s="37">
        <v>-12570</v>
      </c>
      <c r="S11" s="37">
        <v>-12570</v>
      </c>
      <c r="T11" s="37">
        <f t="shared" si="2"/>
        <v>-136380.96</v>
      </c>
    </row>
    <row r="12" spans="1:20">
      <c r="B12" s="7" t="s">
        <v>9</v>
      </c>
      <c r="C12" s="5" t="s">
        <v>41</v>
      </c>
      <c r="D12" s="5" t="s">
        <v>81</v>
      </c>
      <c r="E12" s="39"/>
      <c r="F12" s="5"/>
      <c r="H12" s="12">
        <v>0</v>
      </c>
      <c r="I12" s="12">
        <v>0</v>
      </c>
      <c r="J12" s="12">
        <v>-10562</v>
      </c>
      <c r="K12" s="12">
        <v>-1500</v>
      </c>
      <c r="L12" s="12">
        <v>-2193.75</v>
      </c>
      <c r="M12" s="12">
        <v>-1500</v>
      </c>
      <c r="N12" s="12">
        <v>-1500</v>
      </c>
      <c r="O12" s="12">
        <v>-1500</v>
      </c>
      <c r="P12" s="12">
        <v>-1500</v>
      </c>
      <c r="Q12" s="12">
        <v>-1500</v>
      </c>
      <c r="R12" s="12">
        <v>-1500</v>
      </c>
      <c r="S12" s="12">
        <v>-1500</v>
      </c>
      <c r="T12" s="12">
        <f t="shared" si="2"/>
        <v>-24755.75</v>
      </c>
    </row>
    <row r="13" spans="1:20">
      <c r="A13" s="38"/>
      <c r="B13" s="119" t="s">
        <v>9</v>
      </c>
      <c r="C13" s="120" t="s">
        <v>40</v>
      </c>
      <c r="D13" s="120"/>
      <c r="E13" s="133"/>
      <c r="F13" s="120"/>
      <c r="G13" s="118"/>
      <c r="H13" s="121">
        <v>-15648.36</v>
      </c>
      <c r="I13" s="121">
        <v>-16317.32</v>
      </c>
      <c r="J13" s="121">
        <v>-15648.36</v>
      </c>
      <c r="K13" s="121">
        <v>-16171.55</v>
      </c>
      <c r="L13" s="121">
        <v>-16544.079999999998</v>
      </c>
      <c r="M13" s="121">
        <v>-16171.55</v>
      </c>
      <c r="N13" s="121">
        <v>-16171.55</v>
      </c>
      <c r="O13" s="121">
        <v>-16171.55</v>
      </c>
      <c r="P13" s="121">
        <v>-16171.55</v>
      </c>
      <c r="Q13" s="121">
        <v>-16171.550000000003</v>
      </c>
      <c r="R13" s="121">
        <v>-16171.55</v>
      </c>
      <c r="S13" s="121">
        <v>-16171.55</v>
      </c>
      <c r="T13" s="121">
        <f t="shared" si="2"/>
        <v>-193530.51999999996</v>
      </c>
    </row>
    <row r="14" spans="1:20">
      <c r="B14" s="125" t="s">
        <v>10</v>
      </c>
      <c r="C14" s="93" t="s">
        <v>11</v>
      </c>
      <c r="D14" s="89"/>
      <c r="E14" s="108"/>
      <c r="F14" s="89"/>
      <c r="G14" s="126"/>
      <c r="H14" s="127">
        <v>0</v>
      </c>
      <c r="I14" s="127">
        <v>0</v>
      </c>
      <c r="J14" s="127">
        <v>-1792</v>
      </c>
      <c r="K14" s="127">
        <v>0</v>
      </c>
      <c r="L14" s="127">
        <v>0</v>
      </c>
      <c r="M14" s="127">
        <v>0</v>
      </c>
      <c r="N14" s="127">
        <v>0</v>
      </c>
      <c r="O14" s="127">
        <v>0</v>
      </c>
      <c r="P14" s="127">
        <v>0</v>
      </c>
      <c r="Q14" s="127">
        <v>0</v>
      </c>
      <c r="R14" s="127">
        <v>0</v>
      </c>
      <c r="S14" s="127">
        <v>0</v>
      </c>
      <c r="T14" s="127">
        <f t="shared" si="2"/>
        <v>-1792</v>
      </c>
    </row>
    <row r="15" spans="1:20">
      <c r="B15" s="14" t="s">
        <v>10</v>
      </c>
      <c r="C15" s="31" t="s">
        <v>150</v>
      </c>
      <c r="D15" s="15"/>
      <c r="E15" s="107"/>
      <c r="F15" s="15"/>
      <c r="G15" s="17"/>
      <c r="H15" s="16">
        <v>0</v>
      </c>
      <c r="I15" s="16">
        <v>0</v>
      </c>
      <c r="J15" s="16">
        <v>0</v>
      </c>
      <c r="K15" s="16">
        <v>-12500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f t="shared" si="2"/>
        <v>-12500</v>
      </c>
    </row>
    <row r="16" spans="1:20">
      <c r="B16" s="2" t="s">
        <v>12</v>
      </c>
      <c r="C16" s="5" t="s">
        <v>13</v>
      </c>
      <c r="D16" s="5" t="s">
        <v>69</v>
      </c>
      <c r="E16" s="39"/>
      <c r="F16" s="5"/>
      <c r="G16" s="13"/>
      <c r="H16" s="12">
        <v>-503.04</v>
      </c>
      <c r="I16" s="12">
        <v>-750.62</v>
      </c>
      <c r="J16" s="12">
        <v>0</v>
      </c>
      <c r="K16" s="12">
        <v>-797.56</v>
      </c>
      <c r="L16" s="12">
        <v>0</v>
      </c>
      <c r="M16" s="12">
        <v>0</v>
      </c>
      <c r="N16" s="12">
        <v>0</v>
      </c>
      <c r="O16" s="12">
        <v>-4033.76</v>
      </c>
      <c r="P16" s="12">
        <v>0</v>
      </c>
      <c r="Q16" s="12">
        <v>-12049.33</v>
      </c>
      <c r="R16" s="12">
        <v>0</v>
      </c>
      <c r="S16" s="12">
        <v>0</v>
      </c>
      <c r="T16" s="12">
        <f t="shared" si="2"/>
        <v>-18134.310000000001</v>
      </c>
    </row>
    <row r="17" spans="1:20">
      <c r="B17" s="125" t="s">
        <v>14</v>
      </c>
      <c r="C17" s="93" t="s">
        <v>147</v>
      </c>
      <c r="D17" s="128"/>
      <c r="E17" s="108"/>
      <c r="F17" s="89"/>
      <c r="G17" s="126"/>
      <c r="H17" s="127">
        <v>0</v>
      </c>
      <c r="I17" s="127">
        <v>0</v>
      </c>
      <c r="J17" s="127">
        <v>-5000</v>
      </c>
      <c r="K17" s="127">
        <v>-20622.260000000002</v>
      </c>
      <c r="L17" s="127">
        <v>0</v>
      </c>
      <c r="M17" s="127">
        <v>-2500</v>
      </c>
      <c r="N17" s="127">
        <v>0</v>
      </c>
      <c r="O17" s="127">
        <v>0</v>
      </c>
      <c r="P17" s="127">
        <v>0</v>
      </c>
      <c r="Q17" s="127">
        <v>0</v>
      </c>
      <c r="R17" s="127">
        <v>0</v>
      </c>
      <c r="S17" s="127">
        <v>0</v>
      </c>
      <c r="T17" s="127">
        <f t="shared" si="2"/>
        <v>-28122.260000000002</v>
      </c>
    </row>
    <row r="18" spans="1:20">
      <c r="B18" s="119" t="s">
        <v>14</v>
      </c>
      <c r="C18" s="124" t="s">
        <v>151</v>
      </c>
      <c r="D18" s="123"/>
      <c r="E18" s="133"/>
      <c r="F18" s="120"/>
      <c r="G18" s="118"/>
      <c r="H18" s="121">
        <v>0</v>
      </c>
      <c r="I18" s="121">
        <v>0</v>
      </c>
      <c r="J18" s="121">
        <v>0</v>
      </c>
      <c r="K18" s="121">
        <v>-495.5</v>
      </c>
      <c r="L18" s="121">
        <v>0</v>
      </c>
      <c r="M18" s="121">
        <v>0</v>
      </c>
      <c r="N18" s="121">
        <v>0</v>
      </c>
      <c r="O18" s="121">
        <v>0</v>
      </c>
      <c r="P18" s="121">
        <v>0</v>
      </c>
      <c r="Q18" s="121">
        <v>0</v>
      </c>
      <c r="R18" s="121">
        <v>0</v>
      </c>
      <c r="S18" s="121">
        <v>0</v>
      </c>
      <c r="T18" s="121">
        <f t="shared" si="2"/>
        <v>-495.5</v>
      </c>
    </row>
    <row r="19" spans="1:20">
      <c r="B19" s="119" t="s">
        <v>14</v>
      </c>
      <c r="C19" s="124" t="s">
        <v>15</v>
      </c>
      <c r="D19" s="123"/>
      <c r="E19" s="133"/>
      <c r="F19" s="120"/>
      <c r="G19" s="118"/>
      <c r="H19" s="121">
        <v>0</v>
      </c>
      <c r="I19" s="121">
        <v>0</v>
      </c>
      <c r="J19" s="121">
        <v>0</v>
      </c>
      <c r="K19" s="121">
        <v>-1058.74</v>
      </c>
      <c r="L19" s="121">
        <v>0</v>
      </c>
      <c r="M19" s="121">
        <v>0</v>
      </c>
      <c r="N19" s="121">
        <v>0</v>
      </c>
      <c r="O19" s="121">
        <v>0</v>
      </c>
      <c r="P19" s="121">
        <v>0</v>
      </c>
      <c r="Q19" s="121">
        <v>0</v>
      </c>
      <c r="R19" s="121">
        <v>0</v>
      </c>
      <c r="S19" s="121">
        <v>0</v>
      </c>
      <c r="T19" s="121">
        <f t="shared" si="2"/>
        <v>-1058.74</v>
      </c>
    </row>
    <row r="20" spans="1:20">
      <c r="B20" s="119" t="s">
        <v>14</v>
      </c>
      <c r="C20" s="124" t="s">
        <v>16</v>
      </c>
      <c r="D20" s="123"/>
      <c r="E20" s="133"/>
      <c r="F20" s="120"/>
      <c r="G20" s="118"/>
      <c r="H20" s="121">
        <v>0</v>
      </c>
      <c r="I20" s="121">
        <v>0</v>
      </c>
      <c r="J20" s="121">
        <v>0</v>
      </c>
      <c r="K20" s="121">
        <v>-789.9</v>
      </c>
      <c r="L20" s="121">
        <v>0</v>
      </c>
      <c r="M20" s="121">
        <v>0</v>
      </c>
      <c r="N20" s="121">
        <v>0</v>
      </c>
      <c r="O20" s="121">
        <v>0</v>
      </c>
      <c r="P20" s="121">
        <v>0</v>
      </c>
      <c r="Q20" s="121">
        <v>0</v>
      </c>
      <c r="R20" s="121">
        <v>0</v>
      </c>
      <c r="S20" s="121">
        <v>0</v>
      </c>
      <c r="T20" s="121">
        <f t="shared" si="2"/>
        <v>-789.9</v>
      </c>
    </row>
    <row r="21" spans="1:20">
      <c r="B21" s="119" t="s">
        <v>14</v>
      </c>
      <c r="C21" s="124" t="s">
        <v>56</v>
      </c>
      <c r="D21" s="123"/>
      <c r="E21" s="133"/>
      <c r="F21" s="120"/>
      <c r="G21" s="118"/>
      <c r="H21" s="121">
        <v>0</v>
      </c>
      <c r="I21" s="121">
        <v>0</v>
      </c>
      <c r="J21" s="121">
        <v>0</v>
      </c>
      <c r="K21" s="121">
        <v>0</v>
      </c>
      <c r="L21" s="121">
        <v>0</v>
      </c>
      <c r="M21" s="121">
        <v>-1092.3399999999999</v>
      </c>
      <c r="N21" s="121">
        <v>0</v>
      </c>
      <c r="O21" s="121">
        <v>0</v>
      </c>
      <c r="P21" s="121">
        <v>0</v>
      </c>
      <c r="Q21" s="121">
        <v>0</v>
      </c>
      <c r="R21" s="121">
        <v>0</v>
      </c>
      <c r="S21" s="121">
        <v>0</v>
      </c>
      <c r="T21" s="121">
        <f t="shared" si="2"/>
        <v>-1092.3399999999999</v>
      </c>
    </row>
    <row r="22" spans="1:20">
      <c r="B22" s="14" t="s">
        <v>14</v>
      </c>
      <c r="C22" s="31" t="s">
        <v>165</v>
      </c>
      <c r="D22" s="27"/>
      <c r="E22" s="107"/>
      <c r="F22" s="15"/>
      <c r="G22" s="17"/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-5000</v>
      </c>
      <c r="S22" s="16">
        <v>0</v>
      </c>
      <c r="T22" s="16">
        <f t="shared" si="2"/>
        <v>-5000</v>
      </c>
    </row>
    <row r="23" spans="1:20">
      <c r="B23" s="7" t="s">
        <v>17</v>
      </c>
      <c r="C23" s="5" t="s">
        <v>42</v>
      </c>
      <c r="D23" s="5"/>
      <c r="E23" s="39"/>
      <c r="F23" s="5"/>
      <c r="H23" s="12">
        <v>-5</v>
      </c>
      <c r="I23" s="12">
        <v>-2</v>
      </c>
      <c r="J23" s="12">
        <v>-7</v>
      </c>
      <c r="K23" s="12">
        <v>-5</v>
      </c>
      <c r="L23" s="12">
        <v>-14</v>
      </c>
      <c r="M23" s="12">
        <v>-2</v>
      </c>
      <c r="N23" s="12">
        <v>-26</v>
      </c>
      <c r="O23" s="12">
        <v>-4</v>
      </c>
      <c r="P23" s="12">
        <v>-4</v>
      </c>
      <c r="Q23" s="12">
        <v>-14</v>
      </c>
      <c r="R23" s="12">
        <v>-2</v>
      </c>
      <c r="S23" s="12">
        <v>-3</v>
      </c>
      <c r="T23" s="12">
        <f t="shared" si="2"/>
        <v>-88</v>
      </c>
    </row>
    <row r="24" spans="1:20">
      <c r="B24" s="7" t="s">
        <v>17</v>
      </c>
      <c r="C24" s="5" t="s">
        <v>56</v>
      </c>
      <c r="D24" s="5" t="s">
        <v>125</v>
      </c>
      <c r="E24" s="39"/>
      <c r="F24" s="5"/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9.0949470177292824E-13</v>
      </c>
      <c r="R24" s="12">
        <v>0</v>
      </c>
      <c r="S24" s="12">
        <v>-3851.349999999999</v>
      </c>
      <c r="T24" s="12">
        <f t="shared" si="2"/>
        <v>-3851.3499999999981</v>
      </c>
    </row>
    <row r="25" spans="1:20">
      <c r="B25" s="7" t="s">
        <v>17</v>
      </c>
      <c r="C25" s="5" t="s">
        <v>16</v>
      </c>
      <c r="D25" s="5"/>
      <c r="E25" s="39"/>
      <c r="F25" s="5"/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-147.76</v>
      </c>
      <c r="P25" s="12">
        <v>0</v>
      </c>
      <c r="Q25" s="12">
        <v>0</v>
      </c>
      <c r="R25" s="12">
        <v>0</v>
      </c>
      <c r="S25" s="12">
        <v>0</v>
      </c>
      <c r="T25" s="12">
        <f t="shared" si="2"/>
        <v>-147.76</v>
      </c>
    </row>
    <row r="26" spans="1:20">
      <c r="B26" s="7" t="s">
        <v>17</v>
      </c>
      <c r="C26" s="4" t="s">
        <v>148</v>
      </c>
      <c r="D26" s="5"/>
      <c r="E26" s="39"/>
      <c r="F26" s="5"/>
      <c r="H26" s="12">
        <v>0</v>
      </c>
      <c r="I26" s="12">
        <v>0</v>
      </c>
      <c r="J26" s="12">
        <v>-2525.27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f t="shared" si="2"/>
        <v>-2525.27</v>
      </c>
    </row>
    <row r="27" spans="1:20">
      <c r="B27" s="7" t="s">
        <v>17</v>
      </c>
      <c r="C27" s="4" t="s">
        <v>149</v>
      </c>
      <c r="D27" s="5"/>
      <c r="E27" s="39"/>
      <c r="F27" s="5"/>
      <c r="H27" s="12">
        <v>0</v>
      </c>
      <c r="I27" s="12">
        <v>0</v>
      </c>
      <c r="J27" s="12">
        <v>-1135.3599999999999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f t="shared" ref="T27:T47" si="3">SUM(H27:S27)</f>
        <v>-1135.3599999999999</v>
      </c>
    </row>
    <row r="28" spans="1:20">
      <c r="B28" s="7" t="s">
        <v>17</v>
      </c>
      <c r="C28" s="4" t="s">
        <v>29</v>
      </c>
      <c r="D28" s="5"/>
      <c r="E28" s="39"/>
      <c r="F28" s="5"/>
      <c r="H28" s="12">
        <v>0</v>
      </c>
      <c r="I28" s="12">
        <v>0</v>
      </c>
      <c r="J28" s="12">
        <v>0</v>
      </c>
      <c r="K28" s="12">
        <v>-725</v>
      </c>
      <c r="L28" s="12">
        <v>0</v>
      </c>
      <c r="M28" s="12">
        <v>0</v>
      </c>
      <c r="N28" s="12">
        <v>-950</v>
      </c>
      <c r="O28" s="12">
        <v>0</v>
      </c>
      <c r="P28" s="12">
        <v>0</v>
      </c>
      <c r="Q28" s="12">
        <v>-399.69</v>
      </c>
      <c r="R28" s="12">
        <v>0</v>
      </c>
      <c r="S28" s="12">
        <v>0</v>
      </c>
      <c r="T28" s="12">
        <f t="shared" si="3"/>
        <v>-2074.69</v>
      </c>
    </row>
    <row r="29" spans="1:20">
      <c r="A29" s="38"/>
      <c r="B29" s="34" t="s">
        <v>17</v>
      </c>
      <c r="C29" s="35" t="s">
        <v>13</v>
      </c>
      <c r="D29" s="35"/>
      <c r="E29" s="132"/>
      <c r="F29" s="35"/>
      <c r="G29" s="36"/>
      <c r="H29" s="37">
        <v>0</v>
      </c>
      <c r="I29" s="37">
        <v>-48.15</v>
      </c>
      <c r="J29" s="37">
        <v>-27.09</v>
      </c>
      <c r="K29" s="37">
        <v>0</v>
      </c>
      <c r="L29" s="37">
        <v>0</v>
      </c>
      <c r="M29" s="37">
        <v>-157.24</v>
      </c>
      <c r="N29" s="37">
        <v>-27.98</v>
      </c>
      <c r="O29" s="37">
        <v>-22.92</v>
      </c>
      <c r="P29" s="37">
        <v>0</v>
      </c>
      <c r="Q29" s="37">
        <v>-27.71</v>
      </c>
      <c r="R29" s="37">
        <v>-33.130000000000003</v>
      </c>
      <c r="S29" s="37">
        <v>0</v>
      </c>
      <c r="T29" s="37">
        <f t="shared" si="3"/>
        <v>-344.22</v>
      </c>
    </row>
    <row r="30" spans="1:20">
      <c r="B30" s="2" t="s">
        <v>18</v>
      </c>
      <c r="C30" s="5" t="s">
        <v>19</v>
      </c>
      <c r="D30" s="5"/>
      <c r="E30" s="39"/>
      <c r="F30" s="5"/>
      <c r="H30" s="12">
        <v>-1095</v>
      </c>
      <c r="I30" s="12">
        <v>-1520</v>
      </c>
      <c r="J30" s="12">
        <v>-1350</v>
      </c>
      <c r="K30" s="12">
        <v>-1110</v>
      </c>
      <c r="L30" s="12">
        <v>-1170</v>
      </c>
      <c r="M30" s="12">
        <v>-1185</v>
      </c>
      <c r="N30" s="12">
        <v>-1185</v>
      </c>
      <c r="O30" s="12">
        <v>-1185</v>
      </c>
      <c r="P30" s="12">
        <v>-1185</v>
      </c>
      <c r="Q30" s="12">
        <v>-1200</v>
      </c>
      <c r="R30" s="12">
        <v>-1230</v>
      </c>
      <c r="S30" s="12">
        <v>-1245</v>
      </c>
      <c r="T30" s="12">
        <f t="shared" si="3"/>
        <v>-14660</v>
      </c>
    </row>
    <row r="31" spans="1:20">
      <c r="B31" s="7" t="s">
        <v>20</v>
      </c>
      <c r="C31" s="4" t="s">
        <v>110</v>
      </c>
      <c r="D31" s="5"/>
      <c r="E31" s="39" t="s">
        <v>209</v>
      </c>
      <c r="F31" s="5"/>
      <c r="H31" s="12">
        <v>0</v>
      </c>
      <c r="I31" s="12">
        <v>-600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-1307.24</v>
      </c>
      <c r="S31" s="12">
        <v>0</v>
      </c>
      <c r="T31" s="12">
        <f t="shared" si="3"/>
        <v>-1907.24</v>
      </c>
    </row>
    <row r="32" spans="1:20">
      <c r="B32" s="7" t="s">
        <v>20</v>
      </c>
      <c r="C32" s="4" t="s">
        <v>57</v>
      </c>
      <c r="D32" s="26"/>
      <c r="E32" s="39" t="s">
        <v>209</v>
      </c>
      <c r="F32" s="5"/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-140041.08000000002</v>
      </c>
      <c r="S32" s="12">
        <v>-127783</v>
      </c>
      <c r="T32" s="12">
        <f t="shared" si="3"/>
        <v>-267824.08</v>
      </c>
    </row>
    <row r="33" spans="1:20">
      <c r="B33" s="7" t="s">
        <v>20</v>
      </c>
      <c r="C33" s="4" t="s">
        <v>158</v>
      </c>
      <c r="D33" s="26"/>
      <c r="E33" s="39" t="s">
        <v>209</v>
      </c>
      <c r="F33" s="5"/>
      <c r="H33" s="12">
        <v>0</v>
      </c>
      <c r="I33" s="12">
        <v>0</v>
      </c>
      <c r="J33" s="12">
        <v>0</v>
      </c>
      <c r="K33" s="12">
        <v>-5950</v>
      </c>
      <c r="L33" s="12">
        <v>-2380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f t="shared" si="3"/>
        <v>-8330</v>
      </c>
    </row>
    <row r="34" spans="1:20">
      <c r="A34" s="24"/>
      <c r="B34" s="14" t="s">
        <v>20</v>
      </c>
      <c r="C34" s="15" t="s">
        <v>21</v>
      </c>
      <c r="D34" s="15"/>
      <c r="E34" s="107" t="s">
        <v>209</v>
      </c>
      <c r="F34" s="15"/>
      <c r="G34" s="17"/>
      <c r="H34" s="16">
        <v>-50718</v>
      </c>
      <c r="I34" s="16">
        <v>-109722.55</v>
      </c>
      <c r="J34" s="16">
        <v>-85010.77</v>
      </c>
      <c r="K34" s="16">
        <v>-98279.5</v>
      </c>
      <c r="L34" s="16">
        <v>-90639.7</v>
      </c>
      <c r="M34" s="16">
        <v>-55870.8</v>
      </c>
      <c r="N34" s="16">
        <v>-124772.25</v>
      </c>
      <c r="O34" s="16">
        <v>-110154.75</v>
      </c>
      <c r="P34" s="16">
        <v>-76392.010000000009</v>
      </c>
      <c r="Q34" s="16">
        <v>-59669.999999999993</v>
      </c>
      <c r="R34" s="16">
        <v>-59339.55</v>
      </c>
      <c r="S34" s="16">
        <v>-46726.200000000004</v>
      </c>
      <c r="T34" s="16">
        <f t="shared" si="3"/>
        <v>-967296.08000000007</v>
      </c>
    </row>
    <row r="35" spans="1:20">
      <c r="A35" s="24"/>
      <c r="B35" s="14" t="s">
        <v>23</v>
      </c>
      <c r="C35" s="15" t="s">
        <v>24</v>
      </c>
      <c r="D35" s="15"/>
      <c r="E35" s="107"/>
      <c r="F35" s="15"/>
      <c r="G35" s="17"/>
      <c r="H35" s="16">
        <v>0</v>
      </c>
      <c r="I35" s="16">
        <v>0</v>
      </c>
      <c r="J35" s="16">
        <v>0</v>
      </c>
      <c r="K35" s="16">
        <v>-270</v>
      </c>
      <c r="L35" s="16">
        <v>0</v>
      </c>
      <c r="M35" s="16">
        <v>-60</v>
      </c>
      <c r="N35" s="16">
        <v>-40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f t="shared" si="3"/>
        <v>-370</v>
      </c>
    </row>
    <row r="36" spans="1:20">
      <c r="B36" s="2" t="s">
        <v>36</v>
      </c>
      <c r="C36" s="5" t="s">
        <v>45</v>
      </c>
      <c r="D36" s="5"/>
      <c r="E36" s="39"/>
      <c r="F36" s="5"/>
      <c r="G36" s="11"/>
      <c r="H36" s="12">
        <v>-1492.69</v>
      </c>
      <c r="I36" s="12">
        <v>-1492.69</v>
      </c>
      <c r="J36" s="12">
        <v>-1492.69</v>
      </c>
      <c r="K36" s="12">
        <v>-1492.69</v>
      </c>
      <c r="L36" s="12">
        <v>-1492.69</v>
      </c>
      <c r="M36" s="12">
        <v>-1492.69</v>
      </c>
      <c r="N36" s="12">
        <v>-1492.69</v>
      </c>
      <c r="O36" s="12">
        <v>-1492.69</v>
      </c>
      <c r="P36" s="12">
        <v>-1492.69</v>
      </c>
      <c r="Q36" s="12">
        <v>-1492.6900000000005</v>
      </c>
      <c r="R36" s="12">
        <v>-843.12</v>
      </c>
      <c r="S36" s="12">
        <v>-843.12</v>
      </c>
      <c r="T36" s="12">
        <f t="shared" si="3"/>
        <v>-16613.140000000003</v>
      </c>
    </row>
    <row r="37" spans="1:20" ht="14.55" customHeight="1">
      <c r="B37" s="7" t="s">
        <v>36</v>
      </c>
      <c r="C37" s="5" t="s">
        <v>37</v>
      </c>
      <c r="D37" s="5"/>
      <c r="E37" s="39"/>
      <c r="F37" s="5"/>
      <c r="G37" s="11"/>
      <c r="H37" s="12">
        <v>-9246</v>
      </c>
      <c r="I37" s="12">
        <v>-9322</v>
      </c>
      <c r="J37" s="12">
        <v>-9272</v>
      </c>
      <c r="K37" s="12">
        <v>-9372</v>
      </c>
      <c r="L37" s="12">
        <v>-9348</v>
      </c>
      <c r="M37" s="12">
        <v>-9398</v>
      </c>
      <c r="N37" s="12">
        <v>-9467.89</v>
      </c>
      <c r="O37" s="12">
        <v>-9391.89</v>
      </c>
      <c r="P37" s="12">
        <v>-9624.16</v>
      </c>
      <c r="Q37" s="12">
        <v>-9626.16</v>
      </c>
      <c r="R37" s="12">
        <v>-9702.16</v>
      </c>
      <c r="S37" s="12">
        <v>-10054.16</v>
      </c>
      <c r="T37" s="12">
        <f t="shared" si="3"/>
        <v>-113824.42000000001</v>
      </c>
    </row>
    <row r="38" spans="1:20" ht="14.55" customHeight="1">
      <c r="B38" s="7" t="s">
        <v>36</v>
      </c>
      <c r="C38" s="26" t="s">
        <v>43</v>
      </c>
      <c r="D38" s="26"/>
      <c r="E38" s="39"/>
      <c r="F38" s="5"/>
      <c r="G38" s="11"/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-7000</v>
      </c>
      <c r="P38" s="12">
        <v>0</v>
      </c>
      <c r="Q38" s="12">
        <v>0</v>
      </c>
      <c r="R38" s="12">
        <v>-8000</v>
      </c>
      <c r="S38" s="12">
        <v>-10554.720000000001</v>
      </c>
      <c r="T38" s="12">
        <f t="shared" si="3"/>
        <v>-25554.720000000001</v>
      </c>
    </row>
    <row r="39" spans="1:20">
      <c r="B39" s="7" t="s">
        <v>36</v>
      </c>
      <c r="C39" s="28" t="s">
        <v>29</v>
      </c>
      <c r="D39" s="26"/>
      <c r="E39" s="134"/>
      <c r="F39" s="29"/>
      <c r="G39" s="11"/>
      <c r="H39" s="12">
        <v>0</v>
      </c>
      <c r="I39" s="12">
        <v>-2064.06</v>
      </c>
      <c r="J39" s="12">
        <v>-6809.98</v>
      </c>
      <c r="K39" s="12">
        <v>-6542.45</v>
      </c>
      <c r="L39" s="12">
        <v>-788.13</v>
      </c>
      <c r="M39" s="12">
        <v>-2188.98</v>
      </c>
      <c r="N39" s="12">
        <v>-51.69</v>
      </c>
      <c r="O39" s="12">
        <v>-1088.47</v>
      </c>
      <c r="P39" s="12">
        <v>-1091.3399999999999</v>
      </c>
      <c r="Q39" s="12">
        <v>-146.46</v>
      </c>
      <c r="R39" s="12">
        <v>-2959.27</v>
      </c>
      <c r="S39" s="12">
        <v>-185.12</v>
      </c>
      <c r="T39" s="12">
        <f t="shared" si="3"/>
        <v>-23915.949999999997</v>
      </c>
    </row>
    <row r="40" spans="1:20">
      <c r="B40" s="7" t="s">
        <v>36</v>
      </c>
      <c r="C40" s="4" t="s">
        <v>13</v>
      </c>
      <c r="D40" s="26"/>
      <c r="E40" s="134"/>
      <c r="F40" s="29"/>
      <c r="G40" s="11"/>
      <c r="H40" s="12">
        <v>0</v>
      </c>
      <c r="I40" s="12">
        <v>2875.01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f t="shared" si="3"/>
        <v>2875.01</v>
      </c>
    </row>
    <row r="41" spans="1:20">
      <c r="B41" s="7" t="s">
        <v>36</v>
      </c>
      <c r="C41" s="4" t="s">
        <v>38</v>
      </c>
      <c r="D41" s="26"/>
      <c r="E41" s="134"/>
      <c r="F41" s="29"/>
      <c r="G41" s="11"/>
      <c r="H41" s="12">
        <v>0</v>
      </c>
      <c r="I41" s="12">
        <v>-2875.01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f t="shared" si="3"/>
        <v>-2875.01</v>
      </c>
    </row>
    <row r="42" spans="1:20">
      <c r="B42" s="7" t="s">
        <v>36</v>
      </c>
      <c r="C42" s="4" t="s">
        <v>56</v>
      </c>
      <c r="D42" s="26"/>
      <c r="E42" s="134"/>
      <c r="F42" s="29"/>
      <c r="G42" s="11"/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-7321.55</v>
      </c>
      <c r="Q42" s="12">
        <v>-518.92000000000007</v>
      </c>
      <c r="R42" s="12">
        <v>0</v>
      </c>
      <c r="S42" s="12">
        <v>0</v>
      </c>
      <c r="T42" s="12">
        <f t="shared" si="3"/>
        <v>-7840.47</v>
      </c>
    </row>
    <row r="43" spans="1:20">
      <c r="B43" s="7" t="s">
        <v>36</v>
      </c>
      <c r="C43" s="4" t="s">
        <v>7</v>
      </c>
      <c r="D43" s="26"/>
      <c r="E43" s="134"/>
      <c r="F43" s="29"/>
      <c r="G43" s="11"/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-509.54</v>
      </c>
      <c r="Q43" s="12">
        <v>0</v>
      </c>
      <c r="R43" s="12">
        <v>0</v>
      </c>
      <c r="S43" s="12">
        <v>0</v>
      </c>
      <c r="T43" s="12">
        <f t="shared" si="3"/>
        <v>-509.54</v>
      </c>
    </row>
    <row r="44" spans="1:20">
      <c r="B44" s="7" t="s">
        <v>36</v>
      </c>
      <c r="C44" s="4" t="s">
        <v>163</v>
      </c>
      <c r="D44" s="26"/>
      <c r="E44" s="134"/>
      <c r="F44" s="29"/>
      <c r="G44" s="11"/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-2500</v>
      </c>
      <c r="R44" s="12">
        <v>0</v>
      </c>
      <c r="S44" s="12">
        <v>0</v>
      </c>
      <c r="T44" s="12">
        <f t="shared" si="3"/>
        <v>-2500</v>
      </c>
    </row>
    <row r="45" spans="1:20">
      <c r="B45" s="7" t="s">
        <v>36</v>
      </c>
      <c r="C45" s="4" t="s">
        <v>167</v>
      </c>
      <c r="D45" s="26"/>
      <c r="E45" s="134"/>
      <c r="F45" s="29"/>
      <c r="G45" s="11"/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-66.2</v>
      </c>
      <c r="S45" s="12">
        <v>0</v>
      </c>
      <c r="T45" s="12">
        <f t="shared" si="3"/>
        <v>-66.2</v>
      </c>
    </row>
    <row r="46" spans="1:20">
      <c r="B46" s="7" t="s">
        <v>36</v>
      </c>
      <c r="C46" s="4" t="s">
        <v>203</v>
      </c>
      <c r="D46" s="26"/>
      <c r="E46" s="134"/>
      <c r="F46" s="29"/>
      <c r="G46" s="11"/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-1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f t="shared" si="3"/>
        <v>-1</v>
      </c>
    </row>
    <row r="47" spans="1:20">
      <c r="B47" s="7" t="s">
        <v>36</v>
      </c>
      <c r="C47" s="4" t="s">
        <v>205</v>
      </c>
      <c r="D47" s="26"/>
      <c r="E47" s="134"/>
      <c r="F47" s="29"/>
      <c r="G47" s="11"/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-6469.7799999998824</v>
      </c>
      <c r="T47" s="12">
        <f t="shared" si="3"/>
        <v>-6469.7799999998824</v>
      </c>
    </row>
    <row r="48" spans="1:20">
      <c r="A48" s="24"/>
      <c r="B48" s="14" t="s">
        <v>25</v>
      </c>
      <c r="C48" s="15" t="s">
        <v>44</v>
      </c>
      <c r="D48" s="15"/>
      <c r="E48" s="107"/>
      <c r="F48" s="15"/>
      <c r="G48" s="17"/>
      <c r="H48" s="16">
        <v>-33933.56</v>
      </c>
      <c r="I48" s="16">
        <v>-39286.17</v>
      </c>
      <c r="J48" s="16">
        <v>-48533.93</v>
      </c>
      <c r="K48" s="16">
        <v>-41165.699999999997</v>
      </c>
      <c r="L48" s="16">
        <v>-46171.38</v>
      </c>
      <c r="M48" s="16">
        <v>-44651.35</v>
      </c>
      <c r="N48" s="16">
        <v>-34635.39</v>
      </c>
      <c r="O48" s="16">
        <v>-37637.170000000006</v>
      </c>
      <c r="P48" s="16">
        <v>-25134.28</v>
      </c>
      <c r="Q48" s="16">
        <v>-26858.52</v>
      </c>
      <c r="R48" s="16">
        <v>-33883.769999999997</v>
      </c>
      <c r="S48" s="16">
        <v>-26589.960000000003</v>
      </c>
      <c r="T48" s="16">
        <f t="shared" ref="T48:T67" si="4">SUM(H48:S48)</f>
        <v>-438481.18</v>
      </c>
    </row>
    <row r="49" spans="2:20">
      <c r="B49" s="2" t="s">
        <v>26</v>
      </c>
      <c r="C49" s="4" t="s">
        <v>11</v>
      </c>
      <c r="D49" s="5"/>
      <c r="E49" s="39"/>
      <c r="F49" s="5"/>
      <c r="G49" s="11"/>
      <c r="H49" s="12">
        <v>0</v>
      </c>
      <c r="I49" s="12">
        <v>0</v>
      </c>
      <c r="J49" s="12">
        <v>-10340</v>
      </c>
      <c r="K49" s="12">
        <v>0</v>
      </c>
      <c r="L49" s="12">
        <v>-4300</v>
      </c>
      <c r="M49" s="12">
        <v>-240</v>
      </c>
      <c r="N49" s="12">
        <v>0</v>
      </c>
      <c r="O49" s="12">
        <v>0</v>
      </c>
      <c r="P49" s="12">
        <v>0</v>
      </c>
      <c r="Q49" s="12">
        <v>-4800</v>
      </c>
      <c r="R49" s="12">
        <v>-2000</v>
      </c>
      <c r="S49" s="12">
        <v>-11520</v>
      </c>
      <c r="T49" s="12">
        <f t="shared" si="4"/>
        <v>-33200</v>
      </c>
    </row>
    <row r="50" spans="2:20">
      <c r="B50" s="2" t="s">
        <v>26</v>
      </c>
      <c r="C50" s="4" t="s">
        <v>268</v>
      </c>
      <c r="D50" s="5"/>
      <c r="E50" s="39"/>
      <c r="F50" s="5"/>
      <c r="G50" s="11"/>
      <c r="H50" s="12">
        <v>-16580.07</v>
      </c>
      <c r="I50" s="12">
        <v>-8843.07</v>
      </c>
      <c r="J50" s="12">
        <v>0</v>
      </c>
      <c r="K50" s="12">
        <v>0</v>
      </c>
      <c r="L50" s="12">
        <v>-12116.17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f t="shared" si="4"/>
        <v>-37539.31</v>
      </c>
    </row>
    <row r="51" spans="2:20">
      <c r="B51" s="2" t="s">
        <v>26</v>
      </c>
      <c r="C51" s="28" t="s">
        <v>29</v>
      </c>
      <c r="D51" s="28"/>
      <c r="E51" s="135"/>
      <c r="F51" s="3"/>
      <c r="G51" s="11"/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-412.31999999999994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f t="shared" si="4"/>
        <v>-412.31999999999994</v>
      </c>
    </row>
    <row r="52" spans="2:20">
      <c r="B52" s="48" t="s">
        <v>26</v>
      </c>
      <c r="C52" s="26" t="s">
        <v>58</v>
      </c>
      <c r="D52" s="26"/>
      <c r="E52" s="135"/>
      <c r="F52" s="3"/>
      <c r="G52" s="11"/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-2572.02</v>
      </c>
      <c r="T52" s="12">
        <f t="shared" si="4"/>
        <v>-2572.02</v>
      </c>
    </row>
    <row r="53" spans="2:20">
      <c r="B53" s="2" t="s">
        <v>26</v>
      </c>
      <c r="C53" s="4" t="s">
        <v>159</v>
      </c>
      <c r="D53" s="26"/>
      <c r="E53" s="135"/>
      <c r="F53" s="3"/>
      <c r="G53" s="11"/>
      <c r="H53" s="12">
        <v>0</v>
      </c>
      <c r="I53" s="12">
        <v>0</v>
      </c>
      <c r="J53" s="12">
        <v>0</v>
      </c>
      <c r="K53" s="12">
        <v>-1000</v>
      </c>
      <c r="L53" s="12">
        <v>0</v>
      </c>
      <c r="M53" s="12">
        <v>-1200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f t="shared" si="4"/>
        <v>-2200</v>
      </c>
    </row>
    <row r="54" spans="2:20">
      <c r="B54" s="125" t="s">
        <v>27</v>
      </c>
      <c r="C54" s="89" t="s">
        <v>28</v>
      </c>
      <c r="D54" s="89"/>
      <c r="E54" s="108" t="s">
        <v>209</v>
      </c>
      <c r="F54" s="89" t="s">
        <v>362</v>
      </c>
      <c r="G54" s="126"/>
      <c r="H54" s="127">
        <v>-24999.67</v>
      </c>
      <c r="I54" s="127">
        <v>5982.9</v>
      </c>
      <c r="J54" s="127">
        <v>-19996.68</v>
      </c>
      <c r="K54" s="127">
        <v>0</v>
      </c>
      <c r="L54" s="127">
        <v>-19893.39</v>
      </c>
      <c r="M54" s="127">
        <v>0</v>
      </c>
      <c r="N54" s="127">
        <v>0</v>
      </c>
      <c r="O54" s="127">
        <v>-13692</v>
      </c>
      <c r="P54" s="127">
        <v>0</v>
      </c>
      <c r="Q54" s="127">
        <v>0</v>
      </c>
      <c r="R54" s="127">
        <v>0</v>
      </c>
      <c r="S54" s="127">
        <v>-69387.069999999992</v>
      </c>
      <c r="T54" s="127">
        <f t="shared" si="4"/>
        <v>-141985.90999999997</v>
      </c>
    </row>
    <row r="55" spans="2:20">
      <c r="B55" s="119" t="s">
        <v>27</v>
      </c>
      <c r="C55" s="120" t="s">
        <v>13</v>
      </c>
      <c r="D55" s="120"/>
      <c r="E55" s="133"/>
      <c r="F55" s="120"/>
      <c r="G55" s="13"/>
      <c r="H55" s="121">
        <v>-12517.24</v>
      </c>
      <c r="I55" s="121">
        <v>-15361.84</v>
      </c>
      <c r="J55" s="121">
        <v>-19249.27</v>
      </c>
      <c r="K55" s="121">
        <v>-618.94000000000005</v>
      </c>
      <c r="L55" s="121">
        <v>-625.08000000000004</v>
      </c>
      <c r="M55" s="121">
        <v>-16247.64</v>
      </c>
      <c r="N55" s="121">
        <v>0</v>
      </c>
      <c r="O55" s="121">
        <v>0</v>
      </c>
      <c r="P55" s="121">
        <v>0</v>
      </c>
      <c r="Q55" s="121">
        <v>-24499.78</v>
      </c>
      <c r="R55" s="121">
        <v>0</v>
      </c>
      <c r="S55" s="121">
        <v>-1337.06</v>
      </c>
      <c r="T55" s="121">
        <f t="shared" si="4"/>
        <v>-90456.85</v>
      </c>
    </row>
    <row r="56" spans="2:20">
      <c r="B56" s="122" t="s">
        <v>27</v>
      </c>
      <c r="C56" s="120" t="s">
        <v>101</v>
      </c>
      <c r="D56" s="120"/>
      <c r="E56" s="133" t="s">
        <v>209</v>
      </c>
      <c r="F56" s="120" t="s">
        <v>362</v>
      </c>
      <c r="G56" s="118"/>
      <c r="H56" s="121">
        <v>0</v>
      </c>
      <c r="I56" s="121">
        <v>-23670.22</v>
      </c>
      <c r="J56" s="121">
        <v>0</v>
      </c>
      <c r="K56" s="121">
        <v>0</v>
      </c>
      <c r="L56" s="121">
        <v>0</v>
      </c>
      <c r="M56" s="121">
        <v>0</v>
      </c>
      <c r="N56" s="121">
        <v>0</v>
      </c>
      <c r="O56" s="121">
        <v>0</v>
      </c>
      <c r="P56" s="121">
        <v>0</v>
      </c>
      <c r="Q56" s="121">
        <v>-14999.9</v>
      </c>
      <c r="R56" s="121">
        <v>-3108.22</v>
      </c>
      <c r="S56" s="121">
        <v>-29222.77</v>
      </c>
      <c r="T56" s="121">
        <f t="shared" si="4"/>
        <v>-71001.11</v>
      </c>
    </row>
    <row r="57" spans="2:20">
      <c r="B57" s="122" t="s">
        <v>27</v>
      </c>
      <c r="C57" s="123" t="s">
        <v>16</v>
      </c>
      <c r="D57" s="123"/>
      <c r="E57" s="133"/>
      <c r="F57" s="120"/>
      <c r="G57" s="118"/>
      <c r="H57" s="121">
        <v>0</v>
      </c>
      <c r="I57" s="121">
        <v>0</v>
      </c>
      <c r="J57" s="121">
        <v>0</v>
      </c>
      <c r="K57" s="121">
        <v>0</v>
      </c>
      <c r="L57" s="121">
        <v>-7772.35</v>
      </c>
      <c r="M57" s="121">
        <v>0</v>
      </c>
      <c r="N57" s="121">
        <v>0</v>
      </c>
      <c r="O57" s="121">
        <v>0</v>
      </c>
      <c r="P57" s="121">
        <v>-475.22</v>
      </c>
      <c r="Q57" s="121">
        <v>0</v>
      </c>
      <c r="R57" s="121">
        <v>0</v>
      </c>
      <c r="S57" s="121">
        <v>0</v>
      </c>
      <c r="T57" s="121">
        <f t="shared" si="4"/>
        <v>-8247.57</v>
      </c>
    </row>
    <row r="58" spans="2:20">
      <c r="B58" s="122" t="s">
        <v>27</v>
      </c>
      <c r="C58" s="123" t="s">
        <v>29</v>
      </c>
      <c r="D58" s="120" t="s">
        <v>102</v>
      </c>
      <c r="E58" s="133"/>
      <c r="F58" s="120"/>
      <c r="G58" s="118"/>
      <c r="H58" s="121">
        <v>0</v>
      </c>
      <c r="I58" s="121">
        <v>0</v>
      </c>
      <c r="J58" s="121">
        <v>-483.04</v>
      </c>
      <c r="K58" s="121">
        <v>0</v>
      </c>
      <c r="L58" s="121">
        <v>0</v>
      </c>
      <c r="M58" s="121">
        <v>0</v>
      </c>
      <c r="N58" s="121">
        <v>0</v>
      </c>
      <c r="O58" s="121">
        <v>0</v>
      </c>
      <c r="P58" s="121">
        <v>0</v>
      </c>
      <c r="Q58" s="121">
        <v>-600</v>
      </c>
      <c r="R58" s="121">
        <v>0</v>
      </c>
      <c r="S58" s="121">
        <v>0</v>
      </c>
      <c r="T58" s="121">
        <f t="shared" si="4"/>
        <v>-1083.04</v>
      </c>
    </row>
    <row r="59" spans="2:20">
      <c r="B59" s="122" t="s">
        <v>27</v>
      </c>
      <c r="C59" s="124" t="s">
        <v>15</v>
      </c>
      <c r="D59" s="120"/>
      <c r="E59" s="133" t="s">
        <v>209</v>
      </c>
      <c r="F59" s="120"/>
      <c r="G59" s="118"/>
      <c r="H59" s="121">
        <v>0</v>
      </c>
      <c r="I59" s="121">
        <v>0</v>
      </c>
      <c r="J59" s="121">
        <v>-7000</v>
      </c>
      <c r="K59" s="121">
        <v>0</v>
      </c>
      <c r="L59" s="121">
        <v>0</v>
      </c>
      <c r="M59" s="121">
        <v>-10000</v>
      </c>
      <c r="N59" s="121">
        <v>-1264</v>
      </c>
      <c r="O59" s="121">
        <v>-655.5</v>
      </c>
      <c r="P59" s="121">
        <v>29.5</v>
      </c>
      <c r="Q59" s="121">
        <v>-7905.04</v>
      </c>
      <c r="R59" s="121">
        <v>-655</v>
      </c>
      <c r="S59" s="121">
        <v>0</v>
      </c>
      <c r="T59" s="121">
        <f t="shared" si="4"/>
        <v>-27450.04</v>
      </c>
    </row>
    <row r="60" spans="2:20">
      <c r="B60" s="122" t="s">
        <v>27</v>
      </c>
      <c r="C60" s="124" t="s">
        <v>11</v>
      </c>
      <c r="D60" s="120"/>
      <c r="E60" s="133"/>
      <c r="F60" s="120"/>
      <c r="G60" s="118"/>
      <c r="H60" s="121">
        <v>0</v>
      </c>
      <c r="I60" s="121">
        <v>0</v>
      </c>
      <c r="J60" s="121">
        <v>-20000</v>
      </c>
      <c r="K60" s="121">
        <v>0</v>
      </c>
      <c r="L60" s="121">
        <v>-1500</v>
      </c>
      <c r="M60" s="121">
        <v>0</v>
      </c>
      <c r="N60" s="121">
        <v>0</v>
      </c>
      <c r="O60" s="121">
        <v>0</v>
      </c>
      <c r="P60" s="121">
        <v>0</v>
      </c>
      <c r="Q60" s="121">
        <v>0</v>
      </c>
      <c r="R60" s="121">
        <v>0</v>
      </c>
      <c r="S60" s="121">
        <v>0</v>
      </c>
      <c r="T60" s="121">
        <f t="shared" si="4"/>
        <v>-21500</v>
      </c>
    </row>
    <row r="61" spans="2:20">
      <c r="B61" s="122" t="s">
        <v>27</v>
      </c>
      <c r="C61" s="124" t="s">
        <v>153</v>
      </c>
      <c r="D61" s="120"/>
      <c r="E61" s="133" t="s">
        <v>209</v>
      </c>
      <c r="F61" s="120"/>
      <c r="G61" s="118"/>
      <c r="H61" s="121">
        <v>0</v>
      </c>
      <c r="I61" s="121">
        <v>0</v>
      </c>
      <c r="J61" s="121">
        <v>-3000</v>
      </c>
      <c r="K61" s="121">
        <v>0</v>
      </c>
      <c r="L61" s="121">
        <v>0</v>
      </c>
      <c r="M61" s="121">
        <v>0</v>
      </c>
      <c r="N61" s="121">
        <v>0</v>
      </c>
      <c r="O61" s="121">
        <v>0</v>
      </c>
      <c r="P61" s="121">
        <v>0</v>
      </c>
      <c r="Q61" s="121">
        <v>0</v>
      </c>
      <c r="R61" s="121">
        <v>0</v>
      </c>
      <c r="S61" s="121">
        <v>0</v>
      </c>
      <c r="T61" s="121">
        <f t="shared" si="4"/>
        <v>-3000</v>
      </c>
    </row>
    <row r="62" spans="2:20">
      <c r="B62" s="122" t="s">
        <v>27</v>
      </c>
      <c r="C62" s="124" t="s">
        <v>154</v>
      </c>
      <c r="D62" s="120"/>
      <c r="E62" s="133" t="s">
        <v>209</v>
      </c>
      <c r="F62" s="120"/>
      <c r="G62" s="118"/>
      <c r="H62" s="121">
        <v>0</v>
      </c>
      <c r="I62" s="121">
        <v>0</v>
      </c>
      <c r="J62" s="121">
        <v>-2000</v>
      </c>
      <c r="K62" s="121">
        <v>0</v>
      </c>
      <c r="L62" s="121">
        <v>0</v>
      </c>
      <c r="M62" s="121">
        <v>0</v>
      </c>
      <c r="N62" s="121">
        <v>0</v>
      </c>
      <c r="O62" s="121">
        <v>0</v>
      </c>
      <c r="P62" s="121">
        <v>0</v>
      </c>
      <c r="Q62" s="121">
        <v>0</v>
      </c>
      <c r="R62" s="121">
        <v>0</v>
      </c>
      <c r="S62" s="121">
        <v>0</v>
      </c>
      <c r="T62" s="121">
        <f t="shared" si="4"/>
        <v>-2000</v>
      </c>
    </row>
    <row r="63" spans="2:20">
      <c r="B63" s="122" t="s">
        <v>27</v>
      </c>
      <c r="C63" s="124" t="s">
        <v>155</v>
      </c>
      <c r="D63" s="120"/>
      <c r="E63" s="133" t="s">
        <v>209</v>
      </c>
      <c r="F63" s="120"/>
      <c r="G63" s="118"/>
      <c r="H63" s="121">
        <v>0</v>
      </c>
      <c r="I63" s="121">
        <v>0</v>
      </c>
      <c r="J63" s="121">
        <v>-10000</v>
      </c>
      <c r="K63" s="121">
        <v>0</v>
      </c>
      <c r="L63" s="121">
        <v>0</v>
      </c>
      <c r="M63" s="121">
        <v>0</v>
      </c>
      <c r="N63" s="121">
        <v>0</v>
      </c>
      <c r="O63" s="121">
        <v>0</v>
      </c>
      <c r="P63" s="121">
        <v>0</v>
      </c>
      <c r="Q63" s="121">
        <v>0</v>
      </c>
      <c r="R63" s="121">
        <v>0</v>
      </c>
      <c r="S63" s="121">
        <v>0</v>
      </c>
      <c r="T63" s="121">
        <f t="shared" si="4"/>
        <v>-10000</v>
      </c>
    </row>
    <row r="64" spans="2:20">
      <c r="B64" s="122" t="s">
        <v>27</v>
      </c>
      <c r="C64" s="124" t="s">
        <v>160</v>
      </c>
      <c r="D64" s="120"/>
      <c r="E64" s="133" t="s">
        <v>209</v>
      </c>
      <c r="F64" s="120"/>
      <c r="G64" s="118"/>
      <c r="H64" s="121">
        <v>0</v>
      </c>
      <c r="I64" s="121">
        <v>0</v>
      </c>
      <c r="J64" s="121">
        <v>0</v>
      </c>
      <c r="K64" s="121">
        <v>-6250</v>
      </c>
      <c r="L64" s="121">
        <v>-6250</v>
      </c>
      <c r="M64" s="121">
        <v>-6250</v>
      </c>
      <c r="N64" s="121">
        <v>-6250</v>
      </c>
      <c r="O64" s="121">
        <v>-6250</v>
      </c>
      <c r="P64" s="121">
        <v>-6250</v>
      </c>
      <c r="Q64" s="121">
        <v>-6250</v>
      </c>
      <c r="R64" s="121">
        <v>-6250</v>
      </c>
      <c r="S64" s="121">
        <v>0</v>
      </c>
      <c r="T64" s="121">
        <f t="shared" si="4"/>
        <v>-50000</v>
      </c>
    </row>
    <row r="65" spans="1:20">
      <c r="B65" s="122" t="s">
        <v>27</v>
      </c>
      <c r="C65" s="124" t="s">
        <v>161</v>
      </c>
      <c r="D65" s="120"/>
      <c r="E65" s="133" t="s">
        <v>209</v>
      </c>
      <c r="F65" s="120"/>
      <c r="G65" s="118"/>
      <c r="H65" s="121">
        <v>0</v>
      </c>
      <c r="I65" s="121">
        <v>0</v>
      </c>
      <c r="J65" s="121">
        <v>0</v>
      </c>
      <c r="K65" s="121">
        <v>0</v>
      </c>
      <c r="L65" s="121">
        <v>-975</v>
      </c>
      <c r="M65" s="121">
        <v>0</v>
      </c>
      <c r="N65" s="121">
        <v>0</v>
      </c>
      <c r="O65" s="121">
        <v>0</v>
      </c>
      <c r="P65" s="121">
        <v>0</v>
      </c>
      <c r="Q65" s="121">
        <v>0</v>
      </c>
      <c r="R65" s="121">
        <v>0</v>
      </c>
      <c r="S65" s="121">
        <v>0</v>
      </c>
      <c r="T65" s="121">
        <f t="shared" si="4"/>
        <v>-975</v>
      </c>
    </row>
    <row r="66" spans="1:20">
      <c r="B66" s="122" t="s">
        <v>27</v>
      </c>
      <c r="C66" s="124" t="s">
        <v>162</v>
      </c>
      <c r="D66" s="120"/>
      <c r="E66" s="133" t="s">
        <v>209</v>
      </c>
      <c r="F66" s="120"/>
      <c r="G66" s="118"/>
      <c r="H66" s="121">
        <v>0</v>
      </c>
      <c r="I66" s="121">
        <v>0</v>
      </c>
      <c r="J66" s="121">
        <v>0</v>
      </c>
      <c r="K66" s="121">
        <v>0</v>
      </c>
      <c r="L66" s="121">
        <v>0</v>
      </c>
      <c r="M66" s="121">
        <v>-5000</v>
      </c>
      <c r="N66" s="121">
        <v>0</v>
      </c>
      <c r="O66" s="121">
        <v>0</v>
      </c>
      <c r="P66" s="121">
        <v>0</v>
      </c>
      <c r="Q66" s="121">
        <v>0</v>
      </c>
      <c r="R66" s="121">
        <v>0</v>
      </c>
      <c r="S66" s="121">
        <v>0</v>
      </c>
      <c r="T66" s="121">
        <f t="shared" si="4"/>
        <v>-5000</v>
      </c>
    </row>
    <row r="67" spans="1:20">
      <c r="B67" s="25" t="s">
        <v>27</v>
      </c>
      <c r="C67" s="31" t="s">
        <v>56</v>
      </c>
      <c r="D67" s="15"/>
      <c r="E67" s="107"/>
      <c r="F67" s="15"/>
      <c r="G67" s="17"/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-5000</v>
      </c>
      <c r="T67" s="16">
        <f t="shared" si="4"/>
        <v>-5000</v>
      </c>
    </row>
    <row r="68" spans="1:20">
      <c r="B68" s="14" t="s">
        <v>30</v>
      </c>
      <c r="C68" s="31" t="s">
        <v>156</v>
      </c>
      <c r="D68" s="15"/>
      <c r="E68" s="107" t="s">
        <v>209</v>
      </c>
      <c r="F68" s="15"/>
      <c r="G68" s="17"/>
      <c r="H68" s="16">
        <v>-6600</v>
      </c>
      <c r="I68" s="16">
        <v>-6600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f t="shared" ref="T68:T78" si="5">SUM(H68:S68)</f>
        <v>-13200</v>
      </c>
    </row>
    <row r="69" spans="1:20">
      <c r="B69" s="4" t="s">
        <v>22</v>
      </c>
      <c r="C69" s="5" t="s">
        <v>33</v>
      </c>
      <c r="D69" s="5"/>
      <c r="E69" s="39" t="s">
        <v>209</v>
      </c>
      <c r="F69" s="5"/>
      <c r="H69" s="12">
        <v>0</v>
      </c>
      <c r="I69" s="12">
        <v>0</v>
      </c>
      <c r="J69" s="12">
        <v>-225</v>
      </c>
      <c r="K69" s="12">
        <v>-149.97999999999999</v>
      </c>
      <c r="L69" s="12">
        <v>-199.99</v>
      </c>
      <c r="M69" s="12">
        <v>-24.9</v>
      </c>
      <c r="N69" s="12">
        <v>-199.95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f t="shared" si="5"/>
        <v>-799.81999999999994</v>
      </c>
    </row>
    <row r="70" spans="1:20">
      <c r="B70" s="7" t="s">
        <v>22</v>
      </c>
      <c r="C70" s="5" t="s">
        <v>31</v>
      </c>
      <c r="D70" s="5"/>
      <c r="E70" s="39" t="s">
        <v>209</v>
      </c>
      <c r="F70" s="5"/>
      <c r="H70" s="12">
        <v>-150</v>
      </c>
      <c r="I70" s="12">
        <v>0</v>
      </c>
      <c r="J70" s="12">
        <v>-150</v>
      </c>
      <c r="K70" s="12">
        <v>-150</v>
      </c>
      <c r="L70" s="12">
        <v>0</v>
      </c>
      <c r="M70" s="12">
        <v>-450</v>
      </c>
      <c r="N70" s="12">
        <v>0</v>
      </c>
      <c r="O70" s="12">
        <v>-150</v>
      </c>
      <c r="P70" s="12">
        <v>-150</v>
      </c>
      <c r="Q70" s="12">
        <v>-150</v>
      </c>
      <c r="R70" s="12">
        <v>-300</v>
      </c>
      <c r="S70" s="12">
        <v>-150</v>
      </c>
      <c r="T70" s="12">
        <f t="shared" si="5"/>
        <v>-1800</v>
      </c>
    </row>
    <row r="71" spans="1:20">
      <c r="B71" s="7" t="s">
        <v>22</v>
      </c>
      <c r="C71" s="4" t="s">
        <v>192</v>
      </c>
      <c r="D71" s="5"/>
      <c r="E71" s="39"/>
      <c r="F71" s="5"/>
      <c r="H71" s="12">
        <v>-6007.57</v>
      </c>
      <c r="I71" s="12">
        <v>-16832.57</v>
      </c>
      <c r="J71" s="12">
        <v>-5821.59</v>
      </c>
      <c r="K71" s="12">
        <v>-5635.62</v>
      </c>
      <c r="L71" s="12">
        <v>-5635.62</v>
      </c>
      <c r="M71" s="12">
        <v>-5651.15</v>
      </c>
      <c r="N71" s="12">
        <v>-6007.5800000000017</v>
      </c>
      <c r="O71" s="12">
        <v>-6007.58</v>
      </c>
      <c r="P71" s="12">
        <v>0</v>
      </c>
      <c r="Q71" s="12">
        <v>3.637978807091713E-12</v>
      </c>
      <c r="R71" s="12">
        <v>0</v>
      </c>
      <c r="S71" s="12">
        <v>0</v>
      </c>
      <c r="T71" s="12">
        <f t="shared" si="5"/>
        <v>-57599.28</v>
      </c>
    </row>
    <row r="72" spans="1:20">
      <c r="B72" s="7" t="s">
        <v>22</v>
      </c>
      <c r="C72" s="4" t="s">
        <v>13</v>
      </c>
      <c r="D72" s="5"/>
      <c r="E72" s="39"/>
      <c r="F72" s="5"/>
      <c r="H72" s="12">
        <v>0</v>
      </c>
      <c r="I72" s="12">
        <v>-479.17</v>
      </c>
      <c r="J72" s="12">
        <v>-958.34</v>
      </c>
      <c r="K72" s="12">
        <v>-958.34</v>
      </c>
      <c r="L72" s="12">
        <v>-479.16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f t="shared" si="5"/>
        <v>-2875.0099999999998</v>
      </c>
    </row>
    <row r="73" spans="1:20">
      <c r="A73" s="24"/>
      <c r="B73" s="14" t="s">
        <v>22</v>
      </c>
      <c r="C73" s="15" t="s">
        <v>38</v>
      </c>
      <c r="D73" s="15"/>
      <c r="E73" s="107"/>
      <c r="F73" s="15"/>
      <c r="G73" s="17"/>
      <c r="H73" s="16">
        <v>-958.34</v>
      </c>
      <c r="I73" s="16">
        <v>-479.17000000000007</v>
      </c>
      <c r="J73" s="16">
        <v>0</v>
      </c>
      <c r="K73" s="16">
        <v>0</v>
      </c>
      <c r="L73" s="16">
        <v>-479.17000000000007</v>
      </c>
      <c r="M73" s="16">
        <v>-958.34</v>
      </c>
      <c r="N73" s="16">
        <v>-958.34</v>
      </c>
      <c r="O73" s="16">
        <v>-958.32000000000016</v>
      </c>
      <c r="P73" s="16">
        <v>-958.34</v>
      </c>
      <c r="Q73" s="16">
        <v>-958.34</v>
      </c>
      <c r="R73" s="16">
        <v>-991.86999999999989</v>
      </c>
      <c r="S73" s="16">
        <v>-1025.42</v>
      </c>
      <c r="T73" s="16">
        <f t="shared" si="5"/>
        <v>-8725.6500000000015</v>
      </c>
    </row>
    <row r="74" spans="1:20">
      <c r="B74" s="7" t="s">
        <v>32</v>
      </c>
      <c r="C74" s="5" t="s">
        <v>35</v>
      </c>
      <c r="D74" s="5"/>
      <c r="E74" s="39"/>
      <c r="F74" s="5"/>
      <c r="H74" s="12">
        <v>-295.04999999999995</v>
      </c>
      <c r="I74" s="12">
        <v>-299.35000000000002</v>
      </c>
      <c r="J74" s="12">
        <v>-328.62</v>
      </c>
      <c r="K74" s="12">
        <v>-328.96</v>
      </c>
      <c r="L74" s="12">
        <v>-330.7</v>
      </c>
      <c r="M74" s="12">
        <v>-325.54000000000002</v>
      </c>
      <c r="N74" s="12">
        <v>-329.66</v>
      </c>
      <c r="O74" s="12">
        <v>-327.05</v>
      </c>
      <c r="P74" s="12">
        <v>-326.56</v>
      </c>
      <c r="Q74" s="12">
        <v>-324.85000000000002</v>
      </c>
      <c r="R74" s="12">
        <v>-325.74</v>
      </c>
      <c r="S74" s="12">
        <v>-325.48</v>
      </c>
      <c r="T74" s="12">
        <f t="shared" si="5"/>
        <v>-3867.56</v>
      </c>
    </row>
    <row r="75" spans="1:20">
      <c r="B75" s="7" t="s">
        <v>32</v>
      </c>
      <c r="C75" s="5" t="s">
        <v>109</v>
      </c>
      <c r="D75" s="5"/>
      <c r="E75" s="39"/>
      <c r="F75" s="5"/>
      <c r="H75" s="12">
        <v>-4999</v>
      </c>
      <c r="I75" s="12">
        <v>-4999</v>
      </c>
      <c r="J75" s="12">
        <v>-5000</v>
      </c>
      <c r="K75" s="12">
        <v>-3333</v>
      </c>
      <c r="L75" s="12">
        <v>-3333</v>
      </c>
      <c r="M75" s="12">
        <v>-4500</v>
      </c>
      <c r="N75" s="12">
        <v>-6666</v>
      </c>
      <c r="O75" s="12">
        <v>-3333</v>
      </c>
      <c r="P75" s="12">
        <v>-3333</v>
      </c>
      <c r="Q75" s="12">
        <v>-3333</v>
      </c>
      <c r="R75" s="12">
        <v>-3333</v>
      </c>
      <c r="S75" s="12">
        <v>-3333</v>
      </c>
      <c r="T75" s="12">
        <f t="shared" si="5"/>
        <v>-49495</v>
      </c>
    </row>
    <row r="76" spans="1:20">
      <c r="B76" s="7" t="s">
        <v>32</v>
      </c>
      <c r="C76" s="4" t="s">
        <v>130</v>
      </c>
      <c r="D76" s="5"/>
      <c r="E76" s="39"/>
      <c r="F76" s="5"/>
      <c r="H76" s="12">
        <v>0</v>
      </c>
      <c r="I76" s="12">
        <v>0</v>
      </c>
      <c r="J76" s="12">
        <v>0</v>
      </c>
      <c r="K76" s="12">
        <v>0</v>
      </c>
      <c r="L76" s="12">
        <v>-216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f t="shared" si="5"/>
        <v>-216</v>
      </c>
    </row>
    <row r="77" spans="1:20">
      <c r="B77" s="7" t="s">
        <v>32</v>
      </c>
      <c r="C77" s="4" t="s">
        <v>157</v>
      </c>
      <c r="D77" s="5"/>
      <c r="E77" s="39"/>
      <c r="F77" s="5"/>
      <c r="H77" s="12">
        <v>-312.5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f t="shared" si="5"/>
        <v>-312.5</v>
      </c>
    </row>
    <row r="78" spans="1:20">
      <c r="B78" s="7" t="s">
        <v>32</v>
      </c>
      <c r="C78" s="4" t="s">
        <v>29</v>
      </c>
      <c r="D78" s="5"/>
      <c r="E78" s="39"/>
      <c r="F78" s="5"/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-408</v>
      </c>
      <c r="R78" s="12">
        <v>0</v>
      </c>
      <c r="S78" s="12">
        <v>0</v>
      </c>
      <c r="T78" s="12">
        <f t="shared" si="5"/>
        <v>-408</v>
      </c>
    </row>
    <row r="79" spans="1:20" ht="15.05" customHeight="1">
      <c r="B79" s="2" t="s">
        <v>32</v>
      </c>
      <c r="C79" s="5" t="s">
        <v>34</v>
      </c>
      <c r="D79" s="5"/>
      <c r="E79" s="39"/>
      <c r="F79" s="5"/>
      <c r="G79" s="11"/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-7393.0700000000006</v>
      </c>
      <c r="Q79" s="12">
        <v>-8437.6200000000008</v>
      </c>
      <c r="R79" s="12">
        <v>-8437.6200000000008</v>
      </c>
      <c r="S79" s="12">
        <v>-8491.75</v>
      </c>
      <c r="T79" s="12">
        <f t="shared" ref="T79:T81" si="6">SUM(H79:S79)</f>
        <v>-32760.060000000005</v>
      </c>
    </row>
    <row r="80" spans="1:20">
      <c r="B80" s="19" t="s">
        <v>54</v>
      </c>
      <c r="C80" s="19"/>
      <c r="D80" s="19"/>
      <c r="E80" s="131"/>
      <c r="F80" s="19"/>
      <c r="G80" s="20"/>
      <c r="H80" s="22">
        <f t="shared" ref="H80:T80" si="7">SUM(H9:H79)</f>
        <v>-200061.09</v>
      </c>
      <c r="I80" s="22">
        <f t="shared" si="7"/>
        <v>-274662.04999999993</v>
      </c>
      <c r="J80" s="22">
        <f t="shared" si="7"/>
        <v>-320288.99000000005</v>
      </c>
      <c r="K80" s="22">
        <f t="shared" si="7"/>
        <v>-263842.69000000006</v>
      </c>
      <c r="L80" s="22">
        <f t="shared" si="7"/>
        <v>-262832.32</v>
      </c>
      <c r="M80" s="22">
        <f t="shared" si="7"/>
        <v>-214343.01999999996</v>
      </c>
      <c r="N80" s="22">
        <f t="shared" si="7"/>
        <v>-238979.29000000004</v>
      </c>
      <c r="O80" s="22">
        <f t="shared" si="7"/>
        <v>-247773.41</v>
      </c>
      <c r="P80" s="22">
        <f t="shared" si="7"/>
        <v>-185852.81</v>
      </c>
      <c r="Q80" s="22">
        <f t="shared" si="7"/>
        <v>-232067.06</v>
      </c>
      <c r="R80" s="22">
        <f t="shared" si="7"/>
        <v>-332050.51999999996</v>
      </c>
      <c r="S80" s="22">
        <f t="shared" si="7"/>
        <v>-410911.52999999991</v>
      </c>
      <c r="T80" s="22">
        <f t="shared" si="7"/>
        <v>-3183664.7799999989</v>
      </c>
    </row>
    <row r="81" spans="2:20" outlineLevel="1">
      <c r="B81" s="7" t="s">
        <v>36</v>
      </c>
      <c r="C81" s="5" t="s">
        <v>46</v>
      </c>
      <c r="D81" s="5"/>
      <c r="H81" s="12">
        <v>-48481.27</v>
      </c>
      <c r="I81" s="12">
        <v>38070.47</v>
      </c>
      <c r="J81" s="12">
        <v>25687.010000000002</v>
      </c>
      <c r="K81" s="12">
        <v>7854</v>
      </c>
      <c r="L81" s="12">
        <v>9065.15</v>
      </c>
      <c r="M81" s="12">
        <v>17471.150000000001</v>
      </c>
      <c r="N81" s="12">
        <v>66350.11</v>
      </c>
      <c r="O81" s="12">
        <v>13617.25</v>
      </c>
      <c r="P81" s="12">
        <v>-58436.42</v>
      </c>
      <c r="Q81" s="12">
        <v>-10599.51</v>
      </c>
      <c r="R81" s="12">
        <v>61339.54</v>
      </c>
      <c r="S81" s="12">
        <v>138882.10999999993</v>
      </c>
      <c r="T81" s="12">
        <f t="shared" si="6"/>
        <v>260819.58999999994</v>
      </c>
    </row>
    <row r="82" spans="2:20" outlineLevel="1">
      <c r="B82" s="9" t="s">
        <v>50</v>
      </c>
      <c r="C82" s="5"/>
      <c r="D82" s="5"/>
      <c r="E82" s="39"/>
      <c r="F82" s="5"/>
      <c r="H82" s="12">
        <f t="shared" ref="H82:T82" si="8">H7+H80+H81</f>
        <v>0</v>
      </c>
      <c r="I82" s="12">
        <f t="shared" si="8"/>
        <v>8.7311491370201111E-11</v>
      </c>
      <c r="J82" s="12">
        <f t="shared" si="8"/>
        <v>-6.5483618527650833E-11</v>
      </c>
      <c r="K82" s="12">
        <f t="shared" si="8"/>
        <v>-5.8207660913467407E-11</v>
      </c>
      <c r="L82" s="12">
        <f t="shared" si="8"/>
        <v>0</v>
      </c>
      <c r="M82" s="12">
        <f t="shared" si="8"/>
        <v>3.637978807091713E-11</v>
      </c>
      <c r="N82" s="12">
        <f t="shared" si="8"/>
        <v>0</v>
      </c>
      <c r="O82" s="12">
        <f t="shared" si="8"/>
        <v>0</v>
      </c>
      <c r="P82" s="12">
        <f t="shared" si="8"/>
        <v>0</v>
      </c>
      <c r="Q82" s="12">
        <f t="shared" si="8"/>
        <v>0</v>
      </c>
      <c r="R82" s="12">
        <f t="shared" si="8"/>
        <v>8.0035533756017685E-11</v>
      </c>
      <c r="S82" s="12">
        <f t="shared" si="8"/>
        <v>0</v>
      </c>
      <c r="T82" s="12">
        <f t="shared" si="8"/>
        <v>1.0186340659856796E-9</v>
      </c>
    </row>
    <row r="83" spans="2:20" outlineLevel="1">
      <c r="B83" s="9"/>
      <c r="C83" s="5"/>
      <c r="D83" s="5"/>
      <c r="E83" s="39"/>
      <c r="F83" s="5"/>
      <c r="T83" s="12"/>
    </row>
    <row r="84" spans="2:20" ht="4.5999999999999996" customHeight="1" outlineLevel="1">
      <c r="B84" s="9"/>
      <c r="C84" s="5"/>
      <c r="D84" s="5"/>
      <c r="E84" s="39"/>
      <c r="F84" s="5"/>
      <c r="T84" s="12"/>
    </row>
    <row r="85" spans="2:20">
      <c r="B85" s="60" t="s">
        <v>249</v>
      </c>
      <c r="C85" s="61"/>
      <c r="D85" s="61"/>
      <c r="E85" s="101"/>
      <c r="F85" s="101"/>
      <c r="G85" s="62"/>
      <c r="H85" s="21">
        <f>SUM(H7,H80)</f>
        <v>48481.26999999999</v>
      </c>
      <c r="I85" s="21">
        <f t="shared" ref="I85:S85" si="9">SUM(I7,I80)</f>
        <v>-38070.469999999914</v>
      </c>
      <c r="J85" s="21">
        <f t="shared" si="9"/>
        <v>-25687.010000000068</v>
      </c>
      <c r="K85" s="21">
        <f t="shared" si="9"/>
        <v>-7854.0000000000582</v>
      </c>
      <c r="L85" s="21">
        <f t="shared" si="9"/>
        <v>-9065.1499999999942</v>
      </c>
      <c r="M85" s="21">
        <f t="shared" si="9"/>
        <v>-17471.149999999965</v>
      </c>
      <c r="N85" s="21">
        <f t="shared" si="9"/>
        <v>-66350.110000000044</v>
      </c>
      <c r="O85" s="21">
        <f t="shared" si="9"/>
        <v>-13617.25</v>
      </c>
      <c r="P85" s="21">
        <f t="shared" si="9"/>
        <v>58436.420000000013</v>
      </c>
      <c r="Q85" s="21">
        <f t="shared" si="9"/>
        <v>10599.510000000009</v>
      </c>
      <c r="R85" s="21">
        <f t="shared" si="9"/>
        <v>-61339.539999999921</v>
      </c>
      <c r="S85" s="21">
        <f t="shared" si="9"/>
        <v>-138882.10999999993</v>
      </c>
      <c r="T85" s="21">
        <f t="shared" ref="T85" si="10">SUM(H85:S85)</f>
        <v>-260819.58999999988</v>
      </c>
    </row>
    <row r="108" spans="2:21" s="49" customFormat="1">
      <c r="B108" s="60" t="s">
        <v>209</v>
      </c>
      <c r="C108" s="61"/>
      <c r="D108" s="61"/>
      <c r="E108" s="101"/>
      <c r="F108" s="61"/>
      <c r="G108" s="63"/>
      <c r="H108" s="42">
        <f>SUMIF($E$8:$E$102,$B108,H$8:H$102)</f>
        <v>-82467.67</v>
      </c>
      <c r="I108" s="42">
        <f t="shared" ref="I108:S108" si="11">SUMIF($E$8:$E$102,$B108,I$8:I$102)</f>
        <v>-134609.87</v>
      </c>
      <c r="J108" s="42">
        <f t="shared" si="11"/>
        <v>-127382.45000000001</v>
      </c>
      <c r="K108" s="42">
        <f t="shared" si="11"/>
        <v>-110779.48</v>
      </c>
      <c r="L108" s="42">
        <f t="shared" si="11"/>
        <v>-120338.08</v>
      </c>
      <c r="M108" s="42">
        <f t="shared" si="11"/>
        <v>-77595.7</v>
      </c>
      <c r="N108" s="42">
        <f t="shared" si="11"/>
        <v>-132486.20000000001</v>
      </c>
      <c r="O108" s="42">
        <f t="shared" si="11"/>
        <v>-130902.25</v>
      </c>
      <c r="P108" s="42">
        <f t="shared" si="11"/>
        <v>-82762.510000000009</v>
      </c>
      <c r="Q108" s="42">
        <f t="shared" si="11"/>
        <v>-88974.939999999988</v>
      </c>
      <c r="R108" s="42">
        <f t="shared" si="11"/>
        <v>-211001.09</v>
      </c>
      <c r="S108" s="42">
        <f t="shared" si="11"/>
        <v>-273269.04000000004</v>
      </c>
      <c r="T108" s="42">
        <f t="shared" ref="T108:T109" si="12">SUM(H108:S108)</f>
        <v>-1572569.28</v>
      </c>
      <c r="U108" s="111"/>
    </row>
    <row r="109" spans="2:21" s="49" customFormat="1">
      <c r="B109" s="60" t="s">
        <v>375</v>
      </c>
      <c r="C109" s="61"/>
      <c r="D109" s="61"/>
      <c r="E109" s="101"/>
      <c r="F109" s="61"/>
      <c r="G109" s="63"/>
      <c r="H109" s="42">
        <f>H80-H108</f>
        <v>-117593.42</v>
      </c>
      <c r="I109" s="42">
        <f t="shared" ref="I109:S109" si="13">I80-I108</f>
        <v>-140052.17999999993</v>
      </c>
      <c r="J109" s="42">
        <f t="shared" si="13"/>
        <v>-192906.54000000004</v>
      </c>
      <c r="K109" s="42">
        <f t="shared" si="13"/>
        <v>-153063.21000000008</v>
      </c>
      <c r="L109" s="42">
        <f t="shared" si="13"/>
        <v>-142494.24</v>
      </c>
      <c r="M109" s="42">
        <f t="shared" si="13"/>
        <v>-136747.31999999995</v>
      </c>
      <c r="N109" s="42">
        <f t="shared" si="13"/>
        <v>-106493.09000000003</v>
      </c>
      <c r="O109" s="42">
        <f t="shared" si="13"/>
        <v>-116871.16</v>
      </c>
      <c r="P109" s="42">
        <f t="shared" si="13"/>
        <v>-103090.29999999999</v>
      </c>
      <c r="Q109" s="42">
        <f t="shared" si="13"/>
        <v>-143092.12</v>
      </c>
      <c r="R109" s="42">
        <f t="shared" si="13"/>
        <v>-121049.42999999996</v>
      </c>
      <c r="S109" s="42">
        <f t="shared" si="13"/>
        <v>-137642.48999999987</v>
      </c>
      <c r="T109" s="42">
        <f t="shared" si="12"/>
        <v>-1611095.5</v>
      </c>
      <c r="U109" s="111"/>
    </row>
    <row r="110" spans="2:21" s="49" customFormat="1" ht="6.05" customHeight="1">
      <c r="E110" s="55"/>
      <c r="G110" s="50"/>
      <c r="U110" s="111"/>
    </row>
    <row r="111" spans="2:21" s="49" customFormat="1">
      <c r="B111" s="60" t="s">
        <v>362</v>
      </c>
      <c r="C111" s="61"/>
      <c r="D111" s="61"/>
      <c r="E111" s="101"/>
      <c r="F111" s="61"/>
      <c r="G111" s="63"/>
      <c r="H111" s="42">
        <f>SUMIF($F$8:$F$102,$B111,H$8:H$102)</f>
        <v>-24999.67</v>
      </c>
      <c r="I111" s="42">
        <f t="shared" ref="I111:S111" si="14">SUMIF($F$8:$F$102,$B111,I$8:I$102)</f>
        <v>-17687.32</v>
      </c>
      <c r="J111" s="42">
        <f t="shared" si="14"/>
        <v>-19996.68</v>
      </c>
      <c r="K111" s="42">
        <f t="shared" si="14"/>
        <v>0</v>
      </c>
      <c r="L111" s="42">
        <f t="shared" si="14"/>
        <v>-19893.39</v>
      </c>
      <c r="M111" s="42">
        <f t="shared" si="14"/>
        <v>0</v>
      </c>
      <c r="N111" s="42">
        <f t="shared" si="14"/>
        <v>0</v>
      </c>
      <c r="O111" s="42">
        <f t="shared" si="14"/>
        <v>-13692</v>
      </c>
      <c r="P111" s="42">
        <f t="shared" si="14"/>
        <v>0</v>
      </c>
      <c r="Q111" s="42">
        <f t="shared" si="14"/>
        <v>-14999.9</v>
      </c>
      <c r="R111" s="42">
        <f t="shared" si="14"/>
        <v>-3108.22</v>
      </c>
      <c r="S111" s="42">
        <f t="shared" si="14"/>
        <v>-98609.84</v>
      </c>
      <c r="T111" s="42">
        <f t="shared" ref="T111" si="15">SUM(H111:S111)</f>
        <v>-212987.02</v>
      </c>
      <c r="U111" s="111"/>
    </row>
  </sheetData>
  <mergeCells count="6">
    <mergeCell ref="E2:E3"/>
    <mergeCell ref="H2:S2"/>
    <mergeCell ref="D2:D3"/>
    <mergeCell ref="F2:F3"/>
    <mergeCell ref="B2:B3"/>
    <mergeCell ref="C2:C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FB755-0FE7-4527-95C4-39B0BA9EC4CF}">
  <dimension ref="A1:BI111"/>
  <sheetViews>
    <sheetView showGridLines="0" zoomScale="85" zoomScaleNormal="85" workbookViewId="0">
      <pane xSplit="7" ySplit="7" topLeftCell="J65" activePane="bottomRight" state="frozen"/>
      <selection pane="topRight"/>
      <selection pane="bottomLeft"/>
      <selection pane="bottomRight"/>
    </sheetView>
  </sheetViews>
  <sheetFormatPr defaultColWidth="8.796875" defaultRowHeight="14"/>
  <cols>
    <col min="1" max="1" width="1.09765625" style="49" customWidth="1"/>
    <col min="2" max="2" width="21.19921875" style="49" customWidth="1"/>
    <col min="3" max="3" width="28.8984375" style="49" customWidth="1"/>
    <col min="4" max="4" width="36" style="49" customWidth="1"/>
    <col min="5" max="6" width="18.19921875" style="55" customWidth="1"/>
    <col min="7" max="7" width="0.8984375" style="50" customWidth="1"/>
    <col min="8" max="10" width="11" style="83" customWidth="1"/>
    <col min="11" max="11" width="13.296875" style="83" customWidth="1"/>
    <col min="12" max="12" width="11" style="83" customWidth="1"/>
    <col min="13" max="13" width="12.5" style="83" customWidth="1"/>
    <col min="14" max="16" width="11" style="83" customWidth="1"/>
    <col min="17" max="17" width="12.8984375" style="83" customWidth="1"/>
    <col min="18" max="19" width="11" style="83" customWidth="1"/>
    <col min="20" max="20" width="11.796875" style="83" customWidth="1"/>
    <col min="21" max="21" width="28.796875" style="111" customWidth="1"/>
    <col min="22" max="16384" width="8.796875" style="111"/>
  </cols>
  <sheetData>
    <row r="1" spans="2:21" ht="6.6" customHeight="1"/>
    <row r="2" spans="2:21" ht="10.75" customHeight="1">
      <c r="B2" s="174" t="s">
        <v>0</v>
      </c>
      <c r="C2" s="174" t="s">
        <v>47</v>
      </c>
      <c r="D2" s="174" t="s">
        <v>100</v>
      </c>
      <c r="E2" s="174" t="s">
        <v>53</v>
      </c>
      <c r="F2" s="174" t="s">
        <v>361</v>
      </c>
      <c r="H2" s="174" t="s">
        <v>51</v>
      </c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53"/>
    </row>
    <row r="3" spans="2:21" ht="10.75" customHeight="1">
      <c r="B3" s="174"/>
      <c r="C3" s="174"/>
      <c r="D3" s="174"/>
      <c r="E3" s="174"/>
      <c r="F3" s="174"/>
      <c r="H3" s="52" t="s">
        <v>305</v>
      </c>
      <c r="I3" s="52" t="s">
        <v>306</v>
      </c>
      <c r="J3" s="52" t="s">
        <v>307</v>
      </c>
      <c r="K3" s="52" t="s">
        <v>308</v>
      </c>
      <c r="L3" s="52" t="s">
        <v>309</v>
      </c>
      <c r="M3" s="52" t="s">
        <v>310</v>
      </c>
      <c r="N3" s="52" t="s">
        <v>311</v>
      </c>
      <c r="O3" s="52" t="s">
        <v>312</v>
      </c>
      <c r="P3" s="52" t="s">
        <v>313</v>
      </c>
      <c r="Q3" s="52" t="s">
        <v>314</v>
      </c>
      <c r="R3" s="52" t="s">
        <v>315</v>
      </c>
      <c r="S3" s="52" t="s">
        <v>316</v>
      </c>
      <c r="T3" s="52" t="s">
        <v>213</v>
      </c>
    </row>
    <row r="4" spans="2:21">
      <c r="B4" s="56" t="s">
        <v>1</v>
      </c>
      <c r="H4" s="84">
        <v>241787.94</v>
      </c>
      <c r="I4" s="84">
        <v>241505.22</v>
      </c>
      <c r="J4" s="84">
        <v>271092.7</v>
      </c>
      <c r="K4" s="84">
        <v>251170.52</v>
      </c>
      <c r="L4" s="84">
        <v>258720.68</v>
      </c>
      <c r="M4" s="84">
        <v>253006.19</v>
      </c>
      <c r="N4" s="84">
        <v>253904.2</v>
      </c>
      <c r="O4" s="84">
        <v>260617.5</v>
      </c>
      <c r="P4" s="84">
        <v>241591.01</v>
      </c>
      <c r="Q4" s="84">
        <v>248120.21</v>
      </c>
      <c r="R4" s="84">
        <v>242597.7</v>
      </c>
      <c r="S4" s="84">
        <v>265391.09000000003</v>
      </c>
      <c r="T4" s="84">
        <f>SUM(H4:S4)</f>
        <v>3029504.96</v>
      </c>
    </row>
    <row r="5" spans="2:21">
      <c r="B5" s="56" t="s">
        <v>48</v>
      </c>
      <c r="H5" s="84">
        <v>0</v>
      </c>
      <c r="I5" s="84">
        <v>7000</v>
      </c>
      <c r="J5" s="84">
        <v>2000</v>
      </c>
      <c r="K5" s="84">
        <v>23148</v>
      </c>
      <c r="L5" s="84">
        <v>0</v>
      </c>
      <c r="M5" s="84">
        <v>0</v>
      </c>
      <c r="N5" s="84">
        <v>11000</v>
      </c>
      <c r="O5" s="84">
        <v>6000</v>
      </c>
      <c r="P5" s="84">
        <v>0</v>
      </c>
      <c r="Q5" s="84">
        <v>48680.28</v>
      </c>
      <c r="R5" s="84">
        <v>0</v>
      </c>
      <c r="S5" s="84">
        <v>0</v>
      </c>
      <c r="T5" s="84">
        <f>SUM(H5:S5)</f>
        <v>97828.28</v>
      </c>
      <c r="U5" s="112"/>
    </row>
    <row r="6" spans="2:21">
      <c r="B6" s="56" t="s">
        <v>49</v>
      </c>
      <c r="E6" s="39"/>
      <c r="F6" s="39"/>
      <c r="H6" s="84">
        <v>1062.8</v>
      </c>
      <c r="I6" s="84">
        <v>1378</v>
      </c>
      <c r="J6" s="84">
        <v>3933.37</v>
      </c>
      <c r="K6" s="84">
        <v>703</v>
      </c>
      <c r="L6" s="84">
        <v>2286.9499999999998</v>
      </c>
      <c r="M6" s="84">
        <v>1944</v>
      </c>
      <c r="N6" s="84">
        <v>1953.9</v>
      </c>
      <c r="O6" s="84">
        <v>1910.95</v>
      </c>
      <c r="P6" s="84">
        <v>0</v>
      </c>
      <c r="Q6" s="84">
        <v>0</v>
      </c>
      <c r="R6" s="84">
        <v>5674.51</v>
      </c>
      <c r="S6" s="84">
        <v>1696.2</v>
      </c>
      <c r="T6" s="84">
        <f>SUM(H6:S6)</f>
        <v>22543.68</v>
      </c>
    </row>
    <row r="7" spans="2:21">
      <c r="B7" s="60" t="s">
        <v>52</v>
      </c>
      <c r="C7" s="61"/>
      <c r="D7" s="61"/>
      <c r="E7" s="101"/>
      <c r="F7" s="101"/>
      <c r="G7" s="62"/>
      <c r="H7" s="21">
        <f>SUM(H4:H6)</f>
        <v>242850.74</v>
      </c>
      <c r="I7" s="21">
        <f t="shared" ref="I7:S7" si="0">SUM(I4:I6)</f>
        <v>249883.22</v>
      </c>
      <c r="J7" s="21">
        <f t="shared" si="0"/>
        <v>277026.07</v>
      </c>
      <c r="K7" s="21">
        <f t="shared" si="0"/>
        <v>275021.52</v>
      </c>
      <c r="L7" s="21">
        <f t="shared" si="0"/>
        <v>261007.63</v>
      </c>
      <c r="M7" s="21">
        <f t="shared" si="0"/>
        <v>254950.19</v>
      </c>
      <c r="N7" s="21">
        <f t="shared" si="0"/>
        <v>266858.10000000003</v>
      </c>
      <c r="O7" s="21">
        <f t="shared" si="0"/>
        <v>268528.45</v>
      </c>
      <c r="P7" s="21">
        <f t="shared" si="0"/>
        <v>241591.01</v>
      </c>
      <c r="Q7" s="21">
        <f t="shared" si="0"/>
        <v>296800.49</v>
      </c>
      <c r="R7" s="21">
        <f t="shared" si="0"/>
        <v>248272.21000000002</v>
      </c>
      <c r="S7" s="21">
        <f t="shared" si="0"/>
        <v>267087.29000000004</v>
      </c>
      <c r="T7" s="21">
        <f>SUM(H7:S7)</f>
        <v>3149876.92</v>
      </c>
    </row>
    <row r="8" spans="2:21" ht="9" customHeight="1"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</row>
    <row r="9" spans="2:21">
      <c r="B9" s="65" t="s">
        <v>39</v>
      </c>
      <c r="C9" s="5" t="s">
        <v>21</v>
      </c>
      <c r="D9" s="26" t="s">
        <v>75</v>
      </c>
      <c r="E9" s="39"/>
      <c r="F9" s="39"/>
      <c r="G9" s="85"/>
      <c r="H9" s="59">
        <v>-9750</v>
      </c>
      <c r="I9" s="59">
        <v>-9750</v>
      </c>
      <c r="J9" s="59">
        <v>-9750</v>
      </c>
      <c r="K9" s="59">
        <v>-4875</v>
      </c>
      <c r="L9" s="59">
        <v>0</v>
      </c>
      <c r="M9" s="59">
        <v>0</v>
      </c>
      <c r="N9" s="59">
        <v>0</v>
      </c>
      <c r="O9" s="59">
        <v>0</v>
      </c>
      <c r="P9" s="59">
        <v>0</v>
      </c>
      <c r="Q9" s="59">
        <v>0</v>
      </c>
      <c r="R9" s="59">
        <v>0</v>
      </c>
      <c r="S9" s="59">
        <v>0</v>
      </c>
      <c r="T9" s="59">
        <f t="shared" ref="T9:T40" si="1">SUM(H9:S9)</f>
        <v>-34125</v>
      </c>
    </row>
    <row r="10" spans="2:21">
      <c r="B10" s="65" t="s">
        <v>39</v>
      </c>
      <c r="C10" s="26" t="s">
        <v>63</v>
      </c>
      <c r="D10" s="26" t="s">
        <v>74</v>
      </c>
      <c r="E10" s="39"/>
      <c r="F10" s="39"/>
      <c r="G10" s="85"/>
      <c r="H10" s="59">
        <v>0</v>
      </c>
      <c r="I10" s="59">
        <v>-6000</v>
      </c>
      <c r="J10" s="59">
        <v>-6000</v>
      </c>
      <c r="K10" s="59">
        <v>-6433.33</v>
      </c>
      <c r="L10" s="59">
        <v>-6433.33</v>
      </c>
      <c r="M10" s="59">
        <v>-6433.34</v>
      </c>
      <c r="N10" s="59">
        <v>-6250</v>
      </c>
      <c r="O10" s="59">
        <v>-6250</v>
      </c>
      <c r="P10" s="59">
        <v>-6250</v>
      </c>
      <c r="Q10" s="59">
        <v>-6216.67</v>
      </c>
      <c r="R10" s="59">
        <v>-6216.67</v>
      </c>
      <c r="S10" s="59">
        <v>-6216.66</v>
      </c>
      <c r="T10" s="59">
        <f t="shared" si="1"/>
        <v>-68700</v>
      </c>
    </row>
    <row r="11" spans="2:21">
      <c r="B11" s="4" t="s">
        <v>39</v>
      </c>
      <c r="C11" s="5" t="s">
        <v>11</v>
      </c>
      <c r="D11" s="26" t="s">
        <v>71</v>
      </c>
      <c r="E11" s="39"/>
      <c r="F11" s="39"/>
      <c r="G11" s="85"/>
      <c r="H11" s="59">
        <v>-10000</v>
      </c>
      <c r="I11" s="59">
        <v>-10000</v>
      </c>
      <c r="J11" s="59">
        <v>-10000</v>
      </c>
      <c r="K11" s="59">
        <v>-10000</v>
      </c>
      <c r="L11" s="59">
        <v>-5667</v>
      </c>
      <c r="M11" s="59">
        <v>0</v>
      </c>
      <c r="N11" s="59">
        <v>0</v>
      </c>
      <c r="O11" s="59">
        <v>0</v>
      </c>
      <c r="P11" s="59">
        <v>0</v>
      </c>
      <c r="Q11" s="59">
        <v>0</v>
      </c>
      <c r="R11" s="59">
        <v>0</v>
      </c>
      <c r="S11" s="59">
        <v>0</v>
      </c>
      <c r="T11" s="59">
        <f t="shared" si="1"/>
        <v>-45667</v>
      </c>
    </row>
    <row r="12" spans="2:21">
      <c r="B12" s="4" t="s">
        <v>39</v>
      </c>
      <c r="C12" s="4" t="s">
        <v>131</v>
      </c>
      <c r="D12" s="26" t="s">
        <v>124</v>
      </c>
      <c r="E12" s="39"/>
      <c r="F12" s="39"/>
      <c r="G12" s="85"/>
      <c r="H12" s="59">
        <v>0</v>
      </c>
      <c r="I12" s="59">
        <v>0</v>
      </c>
      <c r="J12" s="59">
        <v>0</v>
      </c>
      <c r="K12" s="59">
        <v>0</v>
      </c>
      <c r="L12" s="59">
        <v>0</v>
      </c>
      <c r="M12" s="59">
        <v>0</v>
      </c>
      <c r="N12" s="59">
        <v>-19145</v>
      </c>
      <c r="O12" s="59">
        <v>-35725</v>
      </c>
      <c r="P12" s="59">
        <v>-15000</v>
      </c>
      <c r="Q12" s="59">
        <v>-17900</v>
      </c>
      <c r="R12" s="59">
        <v>-15000</v>
      </c>
      <c r="S12" s="59">
        <v>-15000</v>
      </c>
      <c r="T12" s="59">
        <f t="shared" si="1"/>
        <v>-117770</v>
      </c>
    </row>
    <row r="13" spans="2:21">
      <c r="B13" s="4" t="s">
        <v>39</v>
      </c>
      <c r="C13" s="4"/>
      <c r="D13" s="26" t="s">
        <v>72</v>
      </c>
      <c r="E13" s="39"/>
      <c r="F13" s="39"/>
      <c r="G13" s="85"/>
      <c r="H13" s="59">
        <v>0</v>
      </c>
      <c r="I13" s="59">
        <v>0</v>
      </c>
      <c r="J13" s="59">
        <v>0</v>
      </c>
      <c r="K13" s="59">
        <v>-5700</v>
      </c>
      <c r="L13" s="59">
        <v>0</v>
      </c>
      <c r="M13" s="59">
        <v>-1200</v>
      </c>
      <c r="N13" s="59">
        <v>0</v>
      </c>
      <c r="O13" s="59">
        <v>0</v>
      </c>
      <c r="P13" s="59">
        <v>0</v>
      </c>
      <c r="Q13" s="59">
        <v>0</v>
      </c>
      <c r="R13" s="59">
        <v>0</v>
      </c>
      <c r="S13" s="59">
        <v>0</v>
      </c>
      <c r="T13" s="59">
        <f t="shared" si="1"/>
        <v>-6900</v>
      </c>
    </row>
    <row r="14" spans="2:21">
      <c r="B14" s="4" t="s">
        <v>39</v>
      </c>
      <c r="C14" s="4" t="s">
        <v>117</v>
      </c>
      <c r="D14" s="26" t="s">
        <v>104</v>
      </c>
      <c r="E14" s="39"/>
      <c r="F14" s="39"/>
      <c r="G14" s="85"/>
      <c r="H14" s="59">
        <v>0</v>
      </c>
      <c r="I14" s="59">
        <v>0</v>
      </c>
      <c r="J14" s="59">
        <v>0</v>
      </c>
      <c r="K14" s="59">
        <v>0</v>
      </c>
      <c r="L14" s="59">
        <v>-10009.74</v>
      </c>
      <c r="M14" s="59">
        <v>0</v>
      </c>
      <c r="N14" s="59">
        <v>0</v>
      </c>
      <c r="O14" s="59">
        <v>0</v>
      </c>
      <c r="P14" s="59">
        <v>0</v>
      </c>
      <c r="Q14" s="59">
        <v>0</v>
      </c>
      <c r="R14" s="59">
        <v>0</v>
      </c>
      <c r="S14" s="59">
        <v>0</v>
      </c>
      <c r="T14" s="59">
        <f t="shared" si="1"/>
        <v>-10009.74</v>
      </c>
    </row>
    <row r="15" spans="2:21">
      <c r="B15" s="4" t="s">
        <v>39</v>
      </c>
      <c r="C15" s="4" t="s">
        <v>117</v>
      </c>
      <c r="D15" s="26" t="s">
        <v>105</v>
      </c>
      <c r="E15" s="39"/>
      <c r="F15" s="39"/>
      <c r="G15" s="85"/>
      <c r="H15" s="59">
        <v>0</v>
      </c>
      <c r="I15" s="59">
        <v>0</v>
      </c>
      <c r="J15" s="59">
        <v>0</v>
      </c>
      <c r="K15" s="59">
        <v>0</v>
      </c>
      <c r="L15" s="59">
        <v>0</v>
      </c>
      <c r="M15" s="59">
        <v>0</v>
      </c>
      <c r="N15" s="59">
        <v>0</v>
      </c>
      <c r="O15" s="59">
        <v>-2457.13</v>
      </c>
      <c r="P15" s="59">
        <v>-2457.13</v>
      </c>
      <c r="Q15" s="59">
        <v>-2457.13</v>
      </c>
      <c r="R15" s="59">
        <v>-2457.13</v>
      </c>
      <c r="S15" s="59">
        <v>-2457.13</v>
      </c>
      <c r="T15" s="59">
        <f t="shared" si="1"/>
        <v>-12285.650000000001</v>
      </c>
    </row>
    <row r="16" spans="2:21">
      <c r="B16" s="4" t="s">
        <v>39</v>
      </c>
      <c r="C16" s="4" t="s">
        <v>111</v>
      </c>
      <c r="D16" s="26" t="s">
        <v>115</v>
      </c>
      <c r="E16" s="39"/>
      <c r="F16" s="39"/>
      <c r="G16" s="85"/>
      <c r="H16" s="59">
        <v>0</v>
      </c>
      <c r="I16" s="59">
        <v>0</v>
      </c>
      <c r="J16" s="59">
        <v>-10500</v>
      </c>
      <c r="K16" s="59">
        <v>0</v>
      </c>
      <c r="L16" s="59">
        <v>0</v>
      </c>
      <c r="M16" s="59">
        <v>0</v>
      </c>
      <c r="N16" s="59">
        <v>0</v>
      </c>
      <c r="O16" s="59">
        <v>0</v>
      </c>
      <c r="P16" s="59">
        <v>0</v>
      </c>
      <c r="Q16" s="59">
        <v>0</v>
      </c>
      <c r="R16" s="59">
        <v>0</v>
      </c>
      <c r="S16" s="59">
        <v>0</v>
      </c>
      <c r="T16" s="59">
        <f t="shared" si="1"/>
        <v>-10500</v>
      </c>
    </row>
    <row r="17" spans="1:21">
      <c r="A17" s="74"/>
      <c r="B17" s="69" t="s">
        <v>39</v>
      </c>
      <c r="C17" s="15" t="s">
        <v>15</v>
      </c>
      <c r="D17" s="27" t="s">
        <v>73</v>
      </c>
      <c r="E17" s="107"/>
      <c r="F17" s="107"/>
      <c r="G17" s="75"/>
      <c r="H17" s="72">
        <v>-12570</v>
      </c>
      <c r="I17" s="72">
        <v>-17304.599999999999</v>
      </c>
      <c r="J17" s="72">
        <v>0</v>
      </c>
      <c r="K17" s="72">
        <v>0</v>
      </c>
      <c r="L17" s="72">
        <v>0</v>
      </c>
      <c r="M17" s="72">
        <v>0</v>
      </c>
      <c r="N17" s="72">
        <v>0</v>
      </c>
      <c r="O17" s="72">
        <v>0</v>
      </c>
      <c r="P17" s="72">
        <v>0</v>
      </c>
      <c r="Q17" s="72">
        <v>0</v>
      </c>
      <c r="R17" s="72">
        <v>0</v>
      </c>
      <c r="S17" s="72">
        <v>0</v>
      </c>
      <c r="T17" s="72">
        <f t="shared" si="1"/>
        <v>-29874.6</v>
      </c>
    </row>
    <row r="18" spans="1:21">
      <c r="B18" s="65" t="s">
        <v>9</v>
      </c>
      <c r="C18" s="5" t="s">
        <v>41</v>
      </c>
      <c r="D18" s="26" t="s">
        <v>81</v>
      </c>
      <c r="E18" s="39"/>
      <c r="F18" s="39"/>
      <c r="H18" s="59">
        <v>-1500</v>
      </c>
      <c r="I18" s="59">
        <v>-1500</v>
      </c>
      <c r="J18" s="59">
        <v>-1500</v>
      </c>
      <c r="K18" s="59">
        <v>-1500</v>
      </c>
      <c r="L18" s="59">
        <v>-1500</v>
      </c>
      <c r="M18" s="59">
        <v>-1500</v>
      </c>
      <c r="N18" s="59">
        <v>-1500</v>
      </c>
      <c r="O18" s="59">
        <v>-1500</v>
      </c>
      <c r="P18" s="59">
        <v>-1500</v>
      </c>
      <c r="Q18" s="59">
        <v>-1500</v>
      </c>
      <c r="R18" s="59">
        <v>-1500</v>
      </c>
      <c r="S18" s="59">
        <v>-1500</v>
      </c>
      <c r="T18" s="59">
        <f t="shared" si="1"/>
        <v>-18000</v>
      </c>
    </row>
    <row r="19" spans="1:21">
      <c r="A19" s="74"/>
      <c r="B19" s="69" t="s">
        <v>9</v>
      </c>
      <c r="C19" s="15" t="s">
        <v>40</v>
      </c>
      <c r="D19" s="27" t="s">
        <v>80</v>
      </c>
      <c r="E19" s="107"/>
      <c r="F19" s="107"/>
      <c r="G19" s="75"/>
      <c r="H19" s="72">
        <v>-16171.52</v>
      </c>
      <c r="I19" s="72">
        <v>-16171.52</v>
      </c>
      <c r="J19" s="72">
        <v>-16171.67</v>
      </c>
      <c r="K19" s="72">
        <v>-16171.550000000003</v>
      </c>
      <c r="L19" s="72">
        <v>-16171.55</v>
      </c>
      <c r="M19" s="72">
        <v>-16171.55</v>
      </c>
      <c r="N19" s="72">
        <v>-16171.55</v>
      </c>
      <c r="O19" s="72">
        <v>-16171.550000000003</v>
      </c>
      <c r="P19" s="72">
        <v>-16171.52</v>
      </c>
      <c r="Q19" s="72">
        <v>-16171.55</v>
      </c>
      <c r="R19" s="72">
        <v>-16171.55</v>
      </c>
      <c r="S19" s="72">
        <v>-16171.55</v>
      </c>
      <c r="T19" s="72">
        <f t="shared" si="1"/>
        <v>-194058.62999999998</v>
      </c>
    </row>
    <row r="20" spans="1:21">
      <c r="B20" s="65" t="s">
        <v>10</v>
      </c>
      <c r="C20" s="26" t="s">
        <v>7</v>
      </c>
      <c r="D20" s="26" t="s">
        <v>86</v>
      </c>
      <c r="E20" s="102"/>
      <c r="F20" s="102"/>
      <c r="H20" s="59">
        <v>0</v>
      </c>
      <c r="I20" s="59">
        <v>0</v>
      </c>
      <c r="J20" s="59">
        <v>0</v>
      </c>
      <c r="K20" s="59">
        <v>0</v>
      </c>
      <c r="L20" s="59">
        <v>0</v>
      </c>
      <c r="M20" s="59">
        <v>0</v>
      </c>
      <c r="N20" s="59">
        <v>0</v>
      </c>
      <c r="O20" s="59">
        <v>0</v>
      </c>
      <c r="P20" s="59">
        <v>-509.54</v>
      </c>
      <c r="Q20" s="59">
        <v>0</v>
      </c>
      <c r="R20" s="59">
        <v>0</v>
      </c>
      <c r="S20" s="59">
        <v>0</v>
      </c>
      <c r="T20" s="59">
        <f t="shared" si="1"/>
        <v>-509.54</v>
      </c>
    </row>
    <row r="21" spans="1:21">
      <c r="B21" s="65" t="s">
        <v>10</v>
      </c>
      <c r="C21" s="4" t="s">
        <v>116</v>
      </c>
      <c r="D21" s="87" t="s">
        <v>126</v>
      </c>
      <c r="E21" s="102"/>
      <c r="F21" s="102"/>
      <c r="H21" s="59">
        <v>0</v>
      </c>
      <c r="I21" s="59">
        <v>0</v>
      </c>
      <c r="J21" s="59">
        <v>0</v>
      </c>
      <c r="K21" s="59">
        <v>-1250</v>
      </c>
      <c r="L21" s="59">
        <v>0</v>
      </c>
      <c r="M21" s="59">
        <v>-1250</v>
      </c>
      <c r="N21" s="59">
        <v>-1250</v>
      </c>
      <c r="O21" s="59">
        <v>0</v>
      </c>
      <c r="P21" s="59">
        <v>0</v>
      </c>
      <c r="Q21" s="59">
        <v>0</v>
      </c>
      <c r="R21" s="59">
        <v>0</v>
      </c>
      <c r="S21" s="59">
        <v>-14700</v>
      </c>
      <c r="T21" s="59">
        <f t="shared" si="1"/>
        <v>-18450</v>
      </c>
    </row>
    <row r="22" spans="1:21">
      <c r="B22" s="65" t="s">
        <v>10</v>
      </c>
      <c r="C22" s="4" t="s">
        <v>116</v>
      </c>
      <c r="D22" s="87" t="s">
        <v>127</v>
      </c>
      <c r="E22" s="102"/>
      <c r="F22" s="102"/>
      <c r="H22" s="59">
        <v>0</v>
      </c>
      <c r="I22" s="59">
        <v>0</v>
      </c>
      <c r="J22" s="59">
        <v>0</v>
      </c>
      <c r="K22" s="59">
        <v>0</v>
      </c>
      <c r="L22" s="59">
        <v>0</v>
      </c>
      <c r="M22" s="59">
        <v>0</v>
      </c>
      <c r="N22" s="59">
        <v>-7050</v>
      </c>
      <c r="O22" s="59">
        <v>0</v>
      </c>
      <c r="P22" s="59">
        <v>-7050</v>
      </c>
      <c r="Q22" s="59">
        <v>-7050</v>
      </c>
      <c r="R22" s="59">
        <v>-7050</v>
      </c>
      <c r="S22" s="59">
        <v>0</v>
      </c>
      <c r="T22" s="59">
        <f t="shared" si="1"/>
        <v>-28200</v>
      </c>
    </row>
    <row r="23" spans="1:21">
      <c r="B23" s="65" t="s">
        <v>10</v>
      </c>
      <c r="C23" s="4" t="s">
        <v>120</v>
      </c>
      <c r="D23" s="23" t="s">
        <v>119</v>
      </c>
      <c r="E23" s="102"/>
      <c r="F23" s="102"/>
      <c r="H23" s="59">
        <v>0</v>
      </c>
      <c r="I23" s="59">
        <v>0</v>
      </c>
      <c r="J23" s="59">
        <v>0</v>
      </c>
      <c r="K23" s="59">
        <v>0</v>
      </c>
      <c r="L23" s="59">
        <v>-2500</v>
      </c>
      <c r="M23" s="59">
        <v>-3000</v>
      </c>
      <c r="N23" s="59">
        <v>-5625</v>
      </c>
      <c r="O23" s="59">
        <v>0</v>
      </c>
      <c r="P23" s="59">
        <v>0</v>
      </c>
      <c r="Q23" s="59">
        <v>0</v>
      </c>
      <c r="R23" s="59">
        <v>0</v>
      </c>
      <c r="S23" s="59">
        <v>-3500</v>
      </c>
      <c r="T23" s="59">
        <f t="shared" si="1"/>
        <v>-14625</v>
      </c>
    </row>
    <row r="24" spans="1:21">
      <c r="A24" s="74"/>
      <c r="B24" s="69" t="s">
        <v>10</v>
      </c>
      <c r="C24" s="15" t="s">
        <v>95</v>
      </c>
      <c r="D24" s="27" t="s">
        <v>64</v>
      </c>
      <c r="E24" s="107"/>
      <c r="F24" s="107"/>
      <c r="G24" s="75"/>
      <c r="H24" s="72">
        <v>0</v>
      </c>
      <c r="I24" s="72">
        <v>-36200</v>
      </c>
      <c r="J24" s="72">
        <v>0</v>
      </c>
      <c r="K24" s="72">
        <v>-38758.76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f t="shared" si="1"/>
        <v>-74958.760000000009</v>
      </c>
    </row>
    <row r="25" spans="1:21">
      <c r="B25" s="65" t="s">
        <v>12</v>
      </c>
      <c r="C25" s="5" t="s">
        <v>13</v>
      </c>
      <c r="D25" s="26" t="s">
        <v>69</v>
      </c>
      <c r="E25" s="39"/>
      <c r="F25" s="39"/>
      <c r="G25" s="67"/>
      <c r="H25" s="59">
        <v>-1294.25</v>
      </c>
      <c r="I25" s="59">
        <v>-12172.87</v>
      </c>
      <c r="J25" s="59">
        <v>-535.1</v>
      </c>
      <c r="K25" s="59">
        <v>-11528.6</v>
      </c>
      <c r="L25" s="59">
        <v>0</v>
      </c>
      <c r="M25" s="59">
        <v>0</v>
      </c>
      <c r="N25" s="59">
        <v>-15136.31</v>
      </c>
      <c r="O25" s="59">
        <v>0</v>
      </c>
      <c r="P25" s="59">
        <v>0</v>
      </c>
      <c r="Q25" s="59">
        <v>0</v>
      </c>
      <c r="R25" s="59">
        <v>0</v>
      </c>
      <c r="S25" s="59">
        <v>0</v>
      </c>
      <c r="T25" s="59">
        <f t="shared" si="1"/>
        <v>-40667.129999999997</v>
      </c>
    </row>
    <row r="26" spans="1:21">
      <c r="B26" s="65" t="s">
        <v>12</v>
      </c>
      <c r="C26" s="4" t="s">
        <v>129</v>
      </c>
      <c r="D26" s="26" t="s">
        <v>76</v>
      </c>
      <c r="E26" s="39"/>
      <c r="F26" s="39"/>
      <c r="G26" s="67"/>
      <c r="H26" s="59">
        <v>0</v>
      </c>
      <c r="I26" s="59">
        <v>0</v>
      </c>
      <c r="J26" s="59">
        <v>0</v>
      </c>
      <c r="K26" s="59">
        <v>0</v>
      </c>
      <c r="L26" s="59">
        <v>0</v>
      </c>
      <c r="M26" s="59">
        <v>0</v>
      </c>
      <c r="N26" s="59">
        <v>-37350</v>
      </c>
      <c r="O26" s="59">
        <v>0</v>
      </c>
      <c r="P26" s="59">
        <v>0</v>
      </c>
      <c r="Q26" s="59">
        <v>-7075.5499999999993</v>
      </c>
      <c r="R26" s="59">
        <v>-8000</v>
      </c>
      <c r="S26" s="59">
        <v>-10708.39</v>
      </c>
      <c r="T26" s="59">
        <f t="shared" si="1"/>
        <v>-63133.94</v>
      </c>
      <c r="U26" s="113"/>
    </row>
    <row r="27" spans="1:21">
      <c r="A27" s="74"/>
      <c r="B27" s="69" t="s">
        <v>12</v>
      </c>
      <c r="C27" s="15" t="s">
        <v>129</v>
      </c>
      <c r="D27" s="27" t="s">
        <v>70</v>
      </c>
      <c r="E27" s="107"/>
      <c r="F27" s="107"/>
      <c r="G27" s="75"/>
      <c r="H27" s="72">
        <v>0</v>
      </c>
      <c r="I27" s="72">
        <v>0</v>
      </c>
      <c r="J27" s="72">
        <v>0</v>
      </c>
      <c r="K27" s="72">
        <v>0</v>
      </c>
      <c r="L27" s="72">
        <v>0</v>
      </c>
      <c r="M27" s="72">
        <v>0</v>
      </c>
      <c r="N27" s="72">
        <v>-5847</v>
      </c>
      <c r="O27" s="72">
        <v>-36554.26</v>
      </c>
      <c r="P27" s="72">
        <v>0</v>
      </c>
      <c r="Q27" s="72">
        <v>0</v>
      </c>
      <c r="R27" s="72">
        <v>-8000</v>
      </c>
      <c r="S27" s="72">
        <v>0</v>
      </c>
      <c r="T27" s="72">
        <f t="shared" si="1"/>
        <v>-50401.26</v>
      </c>
    </row>
    <row r="28" spans="1:21">
      <c r="B28" s="65" t="s">
        <v>87</v>
      </c>
      <c r="C28" s="4" t="s">
        <v>95</v>
      </c>
      <c r="D28" s="26" t="s">
        <v>122</v>
      </c>
      <c r="E28" s="39"/>
      <c r="F28" s="39"/>
      <c r="H28" s="59">
        <v>0</v>
      </c>
      <c r="I28" s="59">
        <v>0</v>
      </c>
      <c r="J28" s="59">
        <v>0</v>
      </c>
      <c r="K28" s="59">
        <v>0</v>
      </c>
      <c r="L28" s="59">
        <v>-20860.400000000001</v>
      </c>
      <c r="M28" s="59">
        <v>0</v>
      </c>
      <c r="N28" s="59">
        <v>0</v>
      </c>
      <c r="O28" s="59">
        <v>0</v>
      </c>
      <c r="P28" s="59">
        <v>0</v>
      </c>
      <c r="Q28" s="59">
        <v>0</v>
      </c>
      <c r="R28" s="59">
        <v>0</v>
      </c>
      <c r="S28" s="59">
        <v>0</v>
      </c>
      <c r="T28" s="59">
        <f t="shared" si="1"/>
        <v>-20860.400000000001</v>
      </c>
      <c r="U28" s="113"/>
    </row>
    <row r="29" spans="1:21">
      <c r="A29" s="74"/>
      <c r="B29" s="69" t="s">
        <v>87</v>
      </c>
      <c r="C29" s="27" t="s">
        <v>98</v>
      </c>
      <c r="D29" s="27" t="s">
        <v>88</v>
      </c>
      <c r="E29" s="107"/>
      <c r="F29" s="107"/>
      <c r="G29" s="75"/>
      <c r="H29" s="72">
        <v>0</v>
      </c>
      <c r="I29" s="72">
        <v>0</v>
      </c>
      <c r="J29" s="72">
        <v>0</v>
      </c>
      <c r="K29" s="72">
        <v>-6900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f t="shared" si="1"/>
        <v>-6900</v>
      </c>
      <c r="U29" s="113"/>
    </row>
    <row r="30" spans="1:21">
      <c r="B30" s="65" t="s">
        <v>14</v>
      </c>
      <c r="C30" s="26" t="s">
        <v>59</v>
      </c>
      <c r="D30" s="26" t="s">
        <v>84</v>
      </c>
      <c r="E30" s="39"/>
      <c r="F30" s="39"/>
      <c r="H30" s="59">
        <v>-4536.4599999999991</v>
      </c>
      <c r="I30" s="59">
        <v>-4536.46</v>
      </c>
      <c r="J30" s="59">
        <v>-4536.46</v>
      </c>
      <c r="K30" s="59">
        <v>-4536.46</v>
      </c>
      <c r="L30" s="59">
        <v>-4536.46</v>
      </c>
      <c r="M30" s="59">
        <v>-4536.45</v>
      </c>
      <c r="N30" s="59">
        <v>-4536.4599999999991</v>
      </c>
      <c r="O30" s="59">
        <v>-4536.46</v>
      </c>
      <c r="P30" s="59">
        <v>-4536.46</v>
      </c>
      <c r="Q30" s="59">
        <v>-4536.46</v>
      </c>
      <c r="R30" s="59">
        <v>-4536.46</v>
      </c>
      <c r="S30" s="59">
        <v>-4536.45</v>
      </c>
      <c r="T30" s="59">
        <f t="shared" si="1"/>
        <v>-54437.499999999993</v>
      </c>
    </row>
    <row r="31" spans="1:21">
      <c r="B31" s="65" t="s">
        <v>14</v>
      </c>
      <c r="C31" s="4" t="s">
        <v>129</v>
      </c>
      <c r="D31" s="26" t="s">
        <v>128</v>
      </c>
      <c r="E31" s="39"/>
      <c r="F31" s="39"/>
      <c r="H31" s="59">
        <v>0</v>
      </c>
      <c r="I31" s="59">
        <v>0</v>
      </c>
      <c r="J31" s="59">
        <v>0</v>
      </c>
      <c r="K31" s="59">
        <v>0</v>
      </c>
      <c r="L31" s="59">
        <v>0</v>
      </c>
      <c r="M31" s="59">
        <v>0</v>
      </c>
      <c r="N31" s="59">
        <v>-1522</v>
      </c>
      <c r="O31" s="59">
        <v>-2537.14</v>
      </c>
      <c r="P31" s="59">
        <v>0</v>
      </c>
      <c r="Q31" s="59">
        <v>-1061.5500000000002</v>
      </c>
      <c r="R31" s="59">
        <v>0</v>
      </c>
      <c r="S31" s="59">
        <v>-1194.26</v>
      </c>
      <c r="T31" s="59">
        <f t="shared" si="1"/>
        <v>-6314.9500000000007</v>
      </c>
    </row>
    <row r="32" spans="1:21">
      <c r="B32" s="65" t="s">
        <v>14</v>
      </c>
      <c r="C32" s="4" t="s">
        <v>134</v>
      </c>
      <c r="D32" s="26" t="s">
        <v>136</v>
      </c>
      <c r="E32" s="39"/>
      <c r="F32" s="39"/>
      <c r="H32" s="59">
        <v>0</v>
      </c>
      <c r="I32" s="59">
        <v>0</v>
      </c>
      <c r="J32" s="59">
        <v>0</v>
      </c>
      <c r="K32" s="59">
        <v>0</v>
      </c>
      <c r="L32" s="59">
        <v>0</v>
      </c>
      <c r="M32" s="59">
        <v>0</v>
      </c>
      <c r="N32" s="59">
        <v>0</v>
      </c>
      <c r="O32" s="59">
        <v>-12286.55</v>
      </c>
      <c r="P32" s="59">
        <v>0</v>
      </c>
      <c r="Q32" s="59">
        <v>0</v>
      </c>
      <c r="R32" s="59">
        <v>0</v>
      </c>
      <c r="S32" s="59">
        <v>0</v>
      </c>
      <c r="T32" s="59">
        <f t="shared" si="1"/>
        <v>-12286.55</v>
      </c>
    </row>
    <row r="33" spans="1:21">
      <c r="B33" s="65" t="s">
        <v>14</v>
      </c>
      <c r="C33" s="26" t="s">
        <v>13</v>
      </c>
      <c r="D33" s="26" t="s">
        <v>4</v>
      </c>
      <c r="E33" s="39"/>
      <c r="F33" s="39"/>
      <c r="H33" s="59">
        <v>0</v>
      </c>
      <c r="I33" s="59">
        <v>-65.36</v>
      </c>
      <c r="J33" s="59">
        <v>0</v>
      </c>
      <c r="K33" s="59">
        <v>0</v>
      </c>
      <c r="L33" s="59">
        <v>0</v>
      </c>
      <c r="M33" s="59">
        <v>0</v>
      </c>
      <c r="N33" s="59">
        <v>0</v>
      </c>
      <c r="O33" s="59">
        <v>0</v>
      </c>
      <c r="P33" s="59">
        <v>0</v>
      </c>
      <c r="Q33" s="59">
        <v>0</v>
      </c>
      <c r="R33" s="59">
        <v>0</v>
      </c>
      <c r="S33" s="59">
        <v>0</v>
      </c>
      <c r="T33" s="59">
        <f t="shared" si="1"/>
        <v>-65.36</v>
      </c>
    </row>
    <row r="34" spans="1:21">
      <c r="B34" s="65" t="s">
        <v>14</v>
      </c>
      <c r="C34" s="26" t="s">
        <v>143</v>
      </c>
      <c r="D34" s="27" t="s">
        <v>143</v>
      </c>
      <c r="E34" s="39"/>
      <c r="F34" s="39"/>
      <c r="H34" s="72">
        <v>0</v>
      </c>
      <c r="I34" s="72">
        <v>0</v>
      </c>
      <c r="J34" s="72">
        <v>0</v>
      </c>
      <c r="K34" s="72">
        <v>0</v>
      </c>
      <c r="L34" s="72">
        <v>0</v>
      </c>
      <c r="M34" s="72">
        <v>0</v>
      </c>
      <c r="N34" s="72">
        <v>0</v>
      </c>
      <c r="O34" s="72">
        <v>0</v>
      </c>
      <c r="P34" s="72">
        <v>0</v>
      </c>
      <c r="Q34" s="72">
        <v>-892.77</v>
      </c>
      <c r="R34" s="72">
        <v>0</v>
      </c>
      <c r="S34" s="72">
        <v>0</v>
      </c>
      <c r="T34" s="72">
        <f t="shared" si="1"/>
        <v>-892.77</v>
      </c>
    </row>
    <row r="35" spans="1:21">
      <c r="B35" s="88" t="s">
        <v>17</v>
      </c>
      <c r="C35" s="89" t="s">
        <v>42</v>
      </c>
      <c r="D35" s="26" t="s">
        <v>42</v>
      </c>
      <c r="E35" s="108"/>
      <c r="F35" s="108"/>
      <c r="G35" s="90"/>
      <c r="H35" s="59">
        <v>-4</v>
      </c>
      <c r="I35" s="59">
        <v>-7</v>
      </c>
      <c r="J35" s="59">
        <v>-20</v>
      </c>
      <c r="K35" s="59">
        <v>-12</v>
      </c>
      <c r="L35" s="59">
        <v>0</v>
      </c>
      <c r="M35" s="59">
        <v>0</v>
      </c>
      <c r="N35" s="59">
        <v>0</v>
      </c>
      <c r="O35" s="59">
        <v>0</v>
      </c>
      <c r="P35" s="59">
        <v>0</v>
      </c>
      <c r="Q35" s="59">
        <v>0</v>
      </c>
      <c r="R35" s="59">
        <v>0</v>
      </c>
      <c r="S35" s="59">
        <v>0</v>
      </c>
      <c r="T35" s="116">
        <f t="shared" si="1"/>
        <v>-43</v>
      </c>
    </row>
    <row r="36" spans="1:21">
      <c r="B36" s="65" t="s">
        <v>17</v>
      </c>
      <c r="C36" s="5" t="s">
        <v>56</v>
      </c>
      <c r="D36" s="5" t="s">
        <v>125</v>
      </c>
      <c r="E36" s="39"/>
      <c r="F36" s="39"/>
      <c r="H36" s="59">
        <v>304.92</v>
      </c>
      <c r="I36" s="59">
        <v>-1711.28</v>
      </c>
      <c r="J36" s="59">
        <v>-1694.85</v>
      </c>
      <c r="K36" s="59">
        <v>0</v>
      </c>
      <c r="L36" s="59">
        <v>-2052.39</v>
      </c>
      <c r="M36" s="59">
        <v>-2080.12</v>
      </c>
      <c r="N36" s="59">
        <v>0</v>
      </c>
      <c r="O36" s="59">
        <v>-7007.79</v>
      </c>
      <c r="P36" s="59">
        <v>0</v>
      </c>
      <c r="Q36" s="59">
        <v>0</v>
      </c>
      <c r="R36" s="59">
        <v>0</v>
      </c>
      <c r="S36" s="59">
        <v>0</v>
      </c>
      <c r="T36" s="59">
        <f t="shared" si="1"/>
        <v>-14241.51</v>
      </c>
    </row>
    <row r="37" spans="1:21">
      <c r="B37" s="65" t="s">
        <v>17</v>
      </c>
      <c r="C37" s="5" t="s">
        <v>16</v>
      </c>
      <c r="D37" s="5" t="s">
        <v>16</v>
      </c>
      <c r="E37" s="39"/>
      <c r="F37" s="39"/>
      <c r="H37" s="59">
        <v>0</v>
      </c>
      <c r="I37" s="59">
        <v>0</v>
      </c>
      <c r="J37" s="59">
        <v>0</v>
      </c>
      <c r="K37" s="59">
        <v>0</v>
      </c>
      <c r="L37" s="59">
        <v>0</v>
      </c>
      <c r="M37" s="59">
        <v>-64.08</v>
      </c>
      <c r="N37" s="59">
        <v>0</v>
      </c>
      <c r="O37" s="59">
        <v>0</v>
      </c>
      <c r="P37" s="59">
        <v>0</v>
      </c>
      <c r="Q37" s="59">
        <v>-1848.38</v>
      </c>
      <c r="R37" s="59">
        <v>0</v>
      </c>
      <c r="S37" s="59">
        <v>1848.38</v>
      </c>
      <c r="T37" s="59">
        <f t="shared" si="1"/>
        <v>-64.079999999999927</v>
      </c>
    </row>
    <row r="38" spans="1:21">
      <c r="B38" s="65" t="s">
        <v>17</v>
      </c>
      <c r="C38" s="4" t="s">
        <v>98</v>
      </c>
      <c r="D38" s="23" t="s">
        <v>98</v>
      </c>
      <c r="E38" s="39"/>
      <c r="F38" s="39"/>
      <c r="H38" s="59">
        <v>0</v>
      </c>
      <c r="I38" s="59">
        <v>0</v>
      </c>
      <c r="J38" s="59">
        <v>0</v>
      </c>
      <c r="K38" s="59">
        <v>0</v>
      </c>
      <c r="L38" s="59">
        <v>0</v>
      </c>
      <c r="M38" s="59">
        <v>0</v>
      </c>
      <c r="N38" s="59">
        <v>-1487.07</v>
      </c>
      <c r="O38" s="59">
        <v>0</v>
      </c>
      <c r="P38" s="59">
        <v>0</v>
      </c>
      <c r="Q38" s="59">
        <v>0</v>
      </c>
      <c r="R38" s="59">
        <v>0</v>
      </c>
      <c r="S38" s="59">
        <v>0</v>
      </c>
      <c r="T38" s="59">
        <f t="shared" si="1"/>
        <v>-1487.07</v>
      </c>
    </row>
    <row r="39" spans="1:21">
      <c r="A39" s="74"/>
      <c r="B39" s="69" t="s">
        <v>17</v>
      </c>
      <c r="C39" s="15" t="s">
        <v>13</v>
      </c>
      <c r="D39" s="27" t="s">
        <v>4</v>
      </c>
      <c r="E39" s="107"/>
      <c r="F39" s="107"/>
      <c r="G39" s="75"/>
      <c r="H39" s="72">
        <v>-2200</v>
      </c>
      <c r="I39" s="72">
        <v>0</v>
      </c>
      <c r="J39" s="72">
        <v>0</v>
      </c>
      <c r="K39" s="72">
        <v>-73.91</v>
      </c>
      <c r="L39" s="72">
        <v>0</v>
      </c>
      <c r="M39" s="72">
        <v>0</v>
      </c>
      <c r="N39" s="72">
        <v>-45.46</v>
      </c>
      <c r="O39" s="72">
        <v>0</v>
      </c>
      <c r="P39" s="72">
        <v>-29.72</v>
      </c>
      <c r="Q39" s="72">
        <v>-957.24</v>
      </c>
      <c r="R39" s="72">
        <v>0</v>
      </c>
      <c r="S39" s="72">
        <v>0</v>
      </c>
      <c r="T39" s="72">
        <f t="shared" si="1"/>
        <v>-3306.33</v>
      </c>
    </row>
    <row r="40" spans="1:21">
      <c r="A40" s="74"/>
      <c r="B40" s="69" t="s">
        <v>18</v>
      </c>
      <c r="C40" s="15" t="s">
        <v>19</v>
      </c>
      <c r="D40" s="27" t="s">
        <v>3</v>
      </c>
      <c r="E40" s="107"/>
      <c r="F40" s="107"/>
      <c r="G40" s="75"/>
      <c r="H40" s="72">
        <v>-1245</v>
      </c>
      <c r="I40" s="72">
        <v>-1558</v>
      </c>
      <c r="J40" s="72">
        <v>-1539</v>
      </c>
      <c r="K40" s="72">
        <v>-1520</v>
      </c>
      <c r="L40" s="72">
        <v>-1520</v>
      </c>
      <c r="M40" s="72">
        <v>-1520</v>
      </c>
      <c r="N40" s="72">
        <v>-1520</v>
      </c>
      <c r="O40" s="72">
        <v>-1520</v>
      </c>
      <c r="P40" s="72">
        <v>-1520</v>
      </c>
      <c r="Q40" s="72">
        <v>-1520</v>
      </c>
      <c r="R40" s="72">
        <v>-1520</v>
      </c>
      <c r="S40" s="72">
        <v>-1520</v>
      </c>
      <c r="T40" s="72">
        <f t="shared" si="1"/>
        <v>-18022</v>
      </c>
    </row>
    <row r="41" spans="1:21">
      <c r="B41" s="65" t="s">
        <v>20</v>
      </c>
      <c r="C41" s="4" t="s">
        <v>111</v>
      </c>
      <c r="D41" s="26" t="s">
        <v>107</v>
      </c>
      <c r="H41" s="59">
        <v>0</v>
      </c>
      <c r="I41" s="59">
        <v>0</v>
      </c>
      <c r="J41" s="59">
        <v>-70000</v>
      </c>
      <c r="K41" s="59">
        <v>0</v>
      </c>
      <c r="L41" s="59">
        <v>0</v>
      </c>
      <c r="M41" s="59">
        <v>0</v>
      </c>
      <c r="N41" s="58">
        <v>0</v>
      </c>
      <c r="O41" s="58">
        <v>0</v>
      </c>
      <c r="P41" s="58">
        <v>0</v>
      </c>
      <c r="Q41" s="58">
        <v>0</v>
      </c>
      <c r="R41" s="58">
        <v>0</v>
      </c>
      <c r="S41" s="58">
        <v>0</v>
      </c>
      <c r="T41" s="59">
        <f t="shared" ref="T41:T72" si="2">SUM(H41:S41)</f>
        <v>-70000</v>
      </c>
    </row>
    <row r="42" spans="1:21">
      <c r="B42" s="65" t="s">
        <v>20</v>
      </c>
      <c r="C42" s="4" t="s">
        <v>110</v>
      </c>
      <c r="D42" s="4" t="s">
        <v>110</v>
      </c>
      <c r="E42" s="39" t="s">
        <v>209</v>
      </c>
      <c r="F42" s="39"/>
      <c r="H42" s="59">
        <v>0</v>
      </c>
      <c r="I42" s="59">
        <v>0</v>
      </c>
      <c r="J42" s="59">
        <v>-2225.7600000000002</v>
      </c>
      <c r="K42" s="59">
        <v>0</v>
      </c>
      <c r="L42" s="59">
        <v>0</v>
      </c>
      <c r="M42" s="59">
        <v>0</v>
      </c>
      <c r="N42" s="58">
        <v>0</v>
      </c>
      <c r="O42" s="58">
        <v>0</v>
      </c>
      <c r="P42" s="58">
        <v>0</v>
      </c>
      <c r="Q42" s="58">
        <v>0</v>
      </c>
      <c r="R42" s="58">
        <v>0</v>
      </c>
      <c r="S42" s="58">
        <v>0</v>
      </c>
      <c r="T42" s="59">
        <f t="shared" si="2"/>
        <v>-2225.7600000000002</v>
      </c>
    </row>
    <row r="43" spans="1:21">
      <c r="B43" s="65" t="s">
        <v>20</v>
      </c>
      <c r="C43" s="4" t="s">
        <v>113</v>
      </c>
      <c r="D43" s="26" t="s">
        <v>114</v>
      </c>
      <c r="E43" s="39" t="s">
        <v>209</v>
      </c>
      <c r="F43" s="39"/>
      <c r="H43" s="59">
        <v>0</v>
      </c>
      <c r="I43" s="59">
        <v>0</v>
      </c>
      <c r="J43" s="59">
        <v>-4548</v>
      </c>
      <c r="K43" s="59">
        <v>0</v>
      </c>
      <c r="L43" s="59">
        <v>0</v>
      </c>
      <c r="M43" s="59">
        <v>0</v>
      </c>
      <c r="N43" s="58">
        <v>0</v>
      </c>
      <c r="O43" s="58">
        <v>0</v>
      </c>
      <c r="P43" s="58">
        <v>0</v>
      </c>
      <c r="Q43" s="58">
        <v>0</v>
      </c>
      <c r="R43" s="58">
        <v>0</v>
      </c>
      <c r="S43" s="58">
        <v>0</v>
      </c>
      <c r="T43" s="59">
        <f t="shared" si="2"/>
        <v>-4548</v>
      </c>
    </row>
    <row r="44" spans="1:21">
      <c r="B44" s="65" t="s">
        <v>20</v>
      </c>
      <c r="C44" s="4" t="s">
        <v>111</v>
      </c>
      <c r="D44" s="26" t="s">
        <v>91</v>
      </c>
      <c r="E44" s="39" t="s">
        <v>209</v>
      </c>
      <c r="F44" s="39"/>
      <c r="H44" s="59">
        <v>0</v>
      </c>
      <c r="I44" s="59">
        <v>0</v>
      </c>
      <c r="J44" s="59">
        <v>-20000</v>
      </c>
      <c r="K44" s="59">
        <v>0</v>
      </c>
      <c r="L44" s="59">
        <v>-20000</v>
      </c>
      <c r="M44" s="59">
        <v>0</v>
      </c>
      <c r="N44" s="58">
        <v>0</v>
      </c>
      <c r="O44" s="58">
        <v>0</v>
      </c>
      <c r="P44" s="58">
        <v>0</v>
      </c>
      <c r="Q44" s="58">
        <v>0</v>
      </c>
      <c r="R44" s="58">
        <v>0</v>
      </c>
      <c r="S44" s="58">
        <v>0</v>
      </c>
      <c r="T44" s="59">
        <f t="shared" si="2"/>
        <v>-40000</v>
      </c>
      <c r="U44" s="113"/>
    </row>
    <row r="45" spans="1:21">
      <c r="B45" s="65" t="s">
        <v>20</v>
      </c>
      <c r="C45" s="4" t="s">
        <v>63</v>
      </c>
      <c r="D45" s="26" t="s">
        <v>132</v>
      </c>
      <c r="E45" s="39" t="s">
        <v>209</v>
      </c>
      <c r="F45" s="39"/>
      <c r="H45" s="59">
        <v>0</v>
      </c>
      <c r="I45" s="59">
        <v>0</v>
      </c>
      <c r="J45" s="59">
        <v>0</v>
      </c>
      <c r="K45" s="59">
        <v>0</v>
      </c>
      <c r="L45" s="59">
        <v>0</v>
      </c>
      <c r="M45" s="59">
        <v>0</v>
      </c>
      <c r="N45" s="58">
        <v>-7000</v>
      </c>
      <c r="O45" s="58">
        <v>0</v>
      </c>
      <c r="P45" s="58">
        <v>-7000</v>
      </c>
      <c r="Q45" s="58">
        <v>0</v>
      </c>
      <c r="R45" s="58">
        <v>4940.46</v>
      </c>
      <c r="S45" s="58">
        <v>0</v>
      </c>
      <c r="T45" s="59">
        <f t="shared" si="2"/>
        <v>-9059.5400000000009</v>
      </c>
      <c r="U45" s="113"/>
    </row>
    <row r="46" spans="1:21">
      <c r="B46" s="65" t="s">
        <v>20</v>
      </c>
      <c r="C46" s="26" t="s">
        <v>98</v>
      </c>
      <c r="D46" s="26" t="s">
        <v>98</v>
      </c>
      <c r="E46" s="39" t="s">
        <v>209</v>
      </c>
      <c r="F46" s="39"/>
      <c r="H46" s="59">
        <v>0</v>
      </c>
      <c r="I46" s="59">
        <v>-12616</v>
      </c>
      <c r="J46" s="59">
        <v>0</v>
      </c>
      <c r="K46" s="59">
        <v>0</v>
      </c>
      <c r="L46" s="59">
        <v>-20475</v>
      </c>
      <c r="M46" s="59">
        <v>0</v>
      </c>
      <c r="N46" s="58">
        <v>0</v>
      </c>
      <c r="O46" s="58">
        <v>0</v>
      </c>
      <c r="P46" s="58">
        <v>0</v>
      </c>
      <c r="Q46" s="58">
        <v>0</v>
      </c>
      <c r="R46" s="58">
        <v>0</v>
      </c>
      <c r="S46" s="58">
        <v>0</v>
      </c>
      <c r="T46" s="59">
        <f t="shared" si="2"/>
        <v>-33091</v>
      </c>
      <c r="U46" s="113"/>
    </row>
    <row r="47" spans="1:21">
      <c r="B47" s="65" t="s">
        <v>20</v>
      </c>
      <c r="C47" s="4" t="s">
        <v>117</v>
      </c>
      <c r="D47" s="26" t="s">
        <v>123</v>
      </c>
      <c r="E47" s="39" t="s">
        <v>209</v>
      </c>
      <c r="F47" s="39"/>
      <c r="H47" s="59">
        <v>0</v>
      </c>
      <c r="I47" s="59">
        <v>0</v>
      </c>
      <c r="J47" s="59">
        <v>0</v>
      </c>
      <c r="K47" s="59">
        <v>0</v>
      </c>
      <c r="L47" s="59">
        <v>-64000</v>
      </c>
      <c r="M47" s="59">
        <v>-64000</v>
      </c>
      <c r="N47" s="58">
        <v>-153987.82</v>
      </c>
      <c r="O47" s="58">
        <v>-133177.79999999999</v>
      </c>
      <c r="P47" s="58">
        <v>-131096.9</v>
      </c>
      <c r="Q47" s="58">
        <v>-153986.84</v>
      </c>
      <c r="R47" s="58">
        <v>-25922.29</v>
      </c>
      <c r="S47" s="58">
        <v>0</v>
      </c>
      <c r="T47" s="59">
        <f t="shared" si="2"/>
        <v>-726171.65</v>
      </c>
      <c r="U47" s="113"/>
    </row>
    <row r="48" spans="1:21">
      <c r="A48" s="74"/>
      <c r="B48" s="69" t="s">
        <v>20</v>
      </c>
      <c r="C48" s="15" t="s">
        <v>21</v>
      </c>
      <c r="D48" s="27" t="s">
        <v>8</v>
      </c>
      <c r="E48" s="107" t="s">
        <v>209</v>
      </c>
      <c r="F48" s="107"/>
      <c r="G48" s="75"/>
      <c r="H48" s="72">
        <v>-37617.97</v>
      </c>
      <c r="I48" s="72">
        <v>-65941.37</v>
      </c>
      <c r="J48" s="72">
        <v>-79356.73</v>
      </c>
      <c r="K48" s="72">
        <v>-13303.98</v>
      </c>
      <c r="L48" s="72">
        <v>0</v>
      </c>
      <c r="M48" s="72">
        <v>0</v>
      </c>
      <c r="N48" s="73">
        <v>0</v>
      </c>
      <c r="O48" s="73">
        <v>0</v>
      </c>
      <c r="P48" s="73">
        <v>0</v>
      </c>
      <c r="Q48" s="73">
        <v>0</v>
      </c>
      <c r="R48" s="73">
        <v>0</v>
      </c>
      <c r="S48" s="73">
        <v>0</v>
      </c>
      <c r="T48" s="72">
        <f t="shared" si="2"/>
        <v>-196220.05000000002</v>
      </c>
      <c r="U48" s="113"/>
    </row>
    <row r="49" spans="1:21">
      <c r="B49" s="65" t="s">
        <v>36</v>
      </c>
      <c r="C49" s="5" t="s">
        <v>45</v>
      </c>
      <c r="D49" s="26" t="s">
        <v>85</v>
      </c>
      <c r="E49" s="39"/>
      <c r="F49" s="39"/>
      <c r="G49" s="85"/>
      <c r="H49" s="59">
        <v>-843.12</v>
      </c>
      <c r="I49" s="59">
        <v>-843.12</v>
      </c>
      <c r="J49" s="59">
        <v>-843.12</v>
      </c>
      <c r="K49" s="59">
        <v>-843.12</v>
      </c>
      <c r="L49" s="59">
        <v>-843.12</v>
      </c>
      <c r="M49" s="59">
        <v>-843.12</v>
      </c>
      <c r="N49" s="59">
        <v>-843.12</v>
      </c>
      <c r="O49" s="59">
        <v>-843.12</v>
      </c>
      <c r="P49" s="59">
        <v>-843.12</v>
      </c>
      <c r="Q49" s="59">
        <v>-843.12</v>
      </c>
      <c r="R49" s="59">
        <v>0</v>
      </c>
      <c r="S49" s="59">
        <v>0</v>
      </c>
      <c r="T49" s="59">
        <f t="shared" si="2"/>
        <v>-8431.2000000000007</v>
      </c>
      <c r="U49" s="113"/>
    </row>
    <row r="50" spans="1:21" ht="14.55" customHeight="1">
      <c r="B50" s="65" t="s">
        <v>36</v>
      </c>
      <c r="C50" s="5" t="s">
        <v>37</v>
      </c>
      <c r="D50" s="26" t="s">
        <v>82</v>
      </c>
      <c r="E50" s="39"/>
      <c r="F50" s="39"/>
      <c r="G50" s="85"/>
      <c r="H50" s="59">
        <v>-9923.89</v>
      </c>
      <c r="I50" s="59">
        <v>-10073.89</v>
      </c>
      <c r="J50" s="59">
        <v>-10125.89</v>
      </c>
      <c r="K50" s="59">
        <v>-10403.89</v>
      </c>
      <c r="L50" s="59">
        <v>-10379.89</v>
      </c>
      <c r="M50" s="59">
        <v>-10536</v>
      </c>
      <c r="N50" s="59">
        <v>-10842</v>
      </c>
      <c r="O50" s="59">
        <v>-11194</v>
      </c>
      <c r="P50" s="59">
        <v>-10944</v>
      </c>
      <c r="Q50" s="59">
        <v>-11196</v>
      </c>
      <c r="R50" s="59">
        <v>-11172</v>
      </c>
      <c r="S50" s="59">
        <v>-11298</v>
      </c>
      <c r="T50" s="59">
        <f t="shared" si="2"/>
        <v>-128089.45</v>
      </c>
    </row>
    <row r="51" spans="1:21" ht="14.55" customHeight="1">
      <c r="B51" s="65" t="s">
        <v>36</v>
      </c>
      <c r="C51" s="26" t="s">
        <v>43</v>
      </c>
      <c r="D51" s="26" t="s">
        <v>43</v>
      </c>
      <c r="E51" s="39"/>
      <c r="F51" s="39"/>
      <c r="G51" s="85"/>
      <c r="H51" s="59">
        <v>0</v>
      </c>
      <c r="I51" s="59">
        <v>-7000</v>
      </c>
      <c r="J51" s="59">
        <v>-2000</v>
      </c>
      <c r="K51" s="59">
        <v>-13074</v>
      </c>
      <c r="L51" s="59">
        <v>0</v>
      </c>
      <c r="M51" s="59">
        <v>0</v>
      </c>
      <c r="N51" s="59">
        <v>-11000</v>
      </c>
      <c r="O51" s="59">
        <v>-6000</v>
      </c>
      <c r="P51" s="59">
        <v>0</v>
      </c>
      <c r="Q51" s="59">
        <v>-24340.14</v>
      </c>
      <c r="R51" s="59">
        <v>0</v>
      </c>
      <c r="S51" s="59">
        <v>-1.9999999996457518E-2</v>
      </c>
      <c r="T51" s="59">
        <f t="shared" si="2"/>
        <v>-63414.159999999996</v>
      </c>
    </row>
    <row r="52" spans="1:21">
      <c r="B52" s="65" t="s">
        <v>36</v>
      </c>
      <c r="C52" s="86" t="s">
        <v>29</v>
      </c>
      <c r="D52" s="26" t="s">
        <v>103</v>
      </c>
      <c r="E52" s="39"/>
      <c r="F52" s="39"/>
      <c r="G52" s="85"/>
      <c r="H52" s="59">
        <v>-1112.94</v>
      </c>
      <c r="I52" s="59">
        <v>-2461.88</v>
      </c>
      <c r="J52" s="59">
        <v>-8323.2199999999993</v>
      </c>
      <c r="K52" s="59">
        <v>-4041.14</v>
      </c>
      <c r="L52" s="59">
        <v>-225.89</v>
      </c>
      <c r="M52" s="59">
        <v>-4463.32</v>
      </c>
      <c r="N52" s="59">
        <v>-2292.1799999999998</v>
      </c>
      <c r="O52" s="59">
        <v>-1558.73</v>
      </c>
      <c r="P52" s="59">
        <v>-10531.24</v>
      </c>
      <c r="Q52" s="59">
        <v>-954.98</v>
      </c>
      <c r="R52" s="59">
        <v>-2648.31</v>
      </c>
      <c r="S52" s="59">
        <v>-867.5</v>
      </c>
      <c r="T52" s="59">
        <f t="shared" si="2"/>
        <v>-39481.33</v>
      </c>
    </row>
    <row r="53" spans="1:21">
      <c r="B53" s="65" t="s">
        <v>36</v>
      </c>
      <c r="C53" s="26" t="s">
        <v>118</v>
      </c>
      <c r="D53" s="26" t="s">
        <v>118</v>
      </c>
      <c r="E53" s="39"/>
      <c r="F53" s="39"/>
      <c r="G53" s="85"/>
      <c r="H53" s="59">
        <v>0</v>
      </c>
      <c r="I53" s="59">
        <v>0</v>
      </c>
      <c r="J53" s="59">
        <v>0</v>
      </c>
      <c r="K53" s="59">
        <v>0</v>
      </c>
      <c r="L53" s="59">
        <v>-282.89999999999998</v>
      </c>
      <c r="M53" s="59">
        <v>-1937.39</v>
      </c>
      <c r="N53" s="59">
        <v>-192.72000000000003</v>
      </c>
      <c r="O53" s="59">
        <v>0</v>
      </c>
      <c r="P53" s="59">
        <v>0</v>
      </c>
      <c r="Q53" s="59">
        <v>0</v>
      </c>
      <c r="R53" s="59">
        <v>0</v>
      </c>
      <c r="S53" s="59">
        <v>0</v>
      </c>
      <c r="T53" s="59">
        <f t="shared" si="2"/>
        <v>-2413.0100000000002</v>
      </c>
    </row>
    <row r="54" spans="1:21">
      <c r="B54" s="65" t="s">
        <v>36</v>
      </c>
      <c r="C54" s="4" t="s">
        <v>144</v>
      </c>
      <c r="D54" s="4" t="s">
        <v>144</v>
      </c>
      <c r="E54" s="102"/>
      <c r="F54" s="102"/>
      <c r="G54" s="85"/>
      <c r="H54" s="59">
        <v>0</v>
      </c>
      <c r="I54" s="59">
        <v>0</v>
      </c>
      <c r="J54" s="59">
        <v>0</v>
      </c>
      <c r="K54" s="59">
        <v>0</v>
      </c>
      <c r="L54" s="59">
        <v>0</v>
      </c>
      <c r="M54" s="59">
        <v>0</v>
      </c>
      <c r="N54" s="59">
        <v>0</v>
      </c>
      <c r="O54" s="59">
        <v>0</v>
      </c>
      <c r="P54" s="59">
        <v>0</v>
      </c>
      <c r="Q54" s="59">
        <v>-5000</v>
      </c>
      <c r="R54" s="59">
        <v>0</v>
      </c>
      <c r="S54" s="59">
        <v>0</v>
      </c>
      <c r="T54" s="59">
        <f t="shared" si="2"/>
        <v>-5000</v>
      </c>
    </row>
    <row r="55" spans="1:21">
      <c r="B55" s="65" t="s">
        <v>36</v>
      </c>
      <c r="C55" s="4" t="s">
        <v>129</v>
      </c>
      <c r="D55" s="4" t="s">
        <v>129</v>
      </c>
      <c r="E55" s="102"/>
      <c r="F55" s="102"/>
      <c r="G55" s="85"/>
      <c r="H55" s="59">
        <v>0</v>
      </c>
      <c r="I55" s="59">
        <v>0</v>
      </c>
      <c r="J55" s="59">
        <v>0</v>
      </c>
      <c r="K55" s="59">
        <v>0</v>
      </c>
      <c r="L55" s="59">
        <v>0</v>
      </c>
      <c r="M55" s="59">
        <v>0</v>
      </c>
      <c r="N55" s="59">
        <v>0</v>
      </c>
      <c r="O55" s="59">
        <v>0</v>
      </c>
      <c r="P55" s="59">
        <v>0</v>
      </c>
      <c r="Q55" s="59">
        <v>0</v>
      </c>
      <c r="R55" s="59">
        <v>0</v>
      </c>
      <c r="S55" s="59">
        <v>-220</v>
      </c>
      <c r="T55" s="59">
        <f t="shared" si="2"/>
        <v>-220</v>
      </c>
    </row>
    <row r="56" spans="1:21">
      <c r="A56" s="74"/>
      <c r="B56" s="69" t="s">
        <v>25</v>
      </c>
      <c r="C56" s="15" t="s">
        <v>44</v>
      </c>
      <c r="D56" s="27" t="s">
        <v>66</v>
      </c>
      <c r="E56" s="107"/>
      <c r="F56" s="107"/>
      <c r="G56" s="75"/>
      <c r="H56" s="72">
        <v>-46135.76</v>
      </c>
      <c r="I56" s="72">
        <v>-52316.55</v>
      </c>
      <c r="J56" s="72">
        <v>-44001.09</v>
      </c>
      <c r="K56" s="72">
        <v>-45371.28</v>
      </c>
      <c r="L56" s="72">
        <v>-47294.11</v>
      </c>
      <c r="M56" s="72">
        <v>-23346.680000000004</v>
      </c>
      <c r="N56" s="72">
        <v>-37010.74</v>
      </c>
      <c r="O56" s="72">
        <v>-40316.01</v>
      </c>
      <c r="P56" s="72">
        <v>-38247.919999999998</v>
      </c>
      <c r="Q56" s="72">
        <v>-41409.56</v>
      </c>
      <c r="R56" s="72">
        <v>-38329.39</v>
      </c>
      <c r="S56" s="72">
        <v>-41164.019999999997</v>
      </c>
      <c r="T56" s="72">
        <f t="shared" si="2"/>
        <v>-494943.11</v>
      </c>
    </row>
    <row r="57" spans="1:21">
      <c r="B57" s="65" t="s">
        <v>26</v>
      </c>
      <c r="C57" s="4" t="s">
        <v>11</v>
      </c>
      <c r="D57" s="26" t="s">
        <v>106</v>
      </c>
      <c r="E57" s="39"/>
      <c r="F57" s="39"/>
      <c r="G57" s="85"/>
      <c r="H57" s="59">
        <v>0</v>
      </c>
      <c r="I57" s="59">
        <v>0</v>
      </c>
      <c r="J57" s="59">
        <v>-3840</v>
      </c>
      <c r="K57" s="59">
        <v>0</v>
      </c>
      <c r="L57" s="59">
        <v>-1200</v>
      </c>
      <c r="M57" s="59">
        <v>0</v>
      </c>
      <c r="N57" s="59">
        <v>0</v>
      </c>
      <c r="O57" s="59">
        <v>0</v>
      </c>
      <c r="P57" s="59">
        <v>0</v>
      </c>
      <c r="Q57" s="59">
        <v>0</v>
      </c>
      <c r="R57" s="59">
        <v>0</v>
      </c>
      <c r="S57" s="59">
        <v>0</v>
      </c>
      <c r="T57" s="59">
        <f t="shared" si="2"/>
        <v>-5040</v>
      </c>
    </row>
    <row r="58" spans="1:21">
      <c r="B58" s="65" t="s">
        <v>26</v>
      </c>
      <c r="C58" s="86" t="s">
        <v>29</v>
      </c>
      <c r="D58" s="26" t="s">
        <v>29</v>
      </c>
      <c r="E58" s="102"/>
      <c r="F58" s="102"/>
      <c r="G58" s="85"/>
      <c r="H58" s="59">
        <v>-369.02</v>
      </c>
      <c r="I58" s="59">
        <v>-409.21</v>
      </c>
      <c r="J58" s="59">
        <v>0</v>
      </c>
      <c r="K58" s="59">
        <v>0</v>
      </c>
      <c r="L58" s="59">
        <v>0</v>
      </c>
      <c r="M58" s="59">
        <v>0</v>
      </c>
      <c r="N58" s="59">
        <v>0</v>
      </c>
      <c r="O58" s="59">
        <v>0</v>
      </c>
      <c r="P58" s="59">
        <v>0</v>
      </c>
      <c r="Q58" s="59">
        <v>0</v>
      </c>
      <c r="R58" s="59">
        <v>0</v>
      </c>
      <c r="S58" s="59">
        <v>0</v>
      </c>
      <c r="T58" s="59">
        <f t="shared" si="2"/>
        <v>-778.23</v>
      </c>
    </row>
    <row r="59" spans="1:21">
      <c r="B59" s="65" t="s">
        <v>26</v>
      </c>
      <c r="C59" s="26" t="s">
        <v>58</v>
      </c>
      <c r="D59" s="26" t="s">
        <v>90</v>
      </c>
      <c r="E59" s="102"/>
      <c r="F59" s="102"/>
      <c r="G59" s="85"/>
      <c r="H59" s="59">
        <v>0</v>
      </c>
      <c r="I59" s="59">
        <v>-4286.7</v>
      </c>
      <c r="J59" s="59">
        <v>0</v>
      </c>
      <c r="K59" s="59">
        <v>0</v>
      </c>
      <c r="L59" s="59">
        <v>-4286.7</v>
      </c>
      <c r="M59" s="59">
        <v>0</v>
      </c>
      <c r="N59" s="59">
        <v>-4286.7</v>
      </c>
      <c r="O59" s="59">
        <v>0</v>
      </c>
      <c r="P59" s="59">
        <v>-13560.099999999999</v>
      </c>
      <c r="Q59" s="59">
        <v>0</v>
      </c>
      <c r="R59" s="59">
        <v>0</v>
      </c>
      <c r="S59" s="59">
        <v>-4286.7</v>
      </c>
      <c r="T59" s="59">
        <f t="shared" si="2"/>
        <v>-30706.899999999998</v>
      </c>
      <c r="U59" s="114"/>
    </row>
    <row r="60" spans="1:21">
      <c r="B60" s="65" t="s">
        <v>26</v>
      </c>
      <c r="C60" s="26" t="s">
        <v>60</v>
      </c>
      <c r="D60" s="26" t="s">
        <v>89</v>
      </c>
      <c r="E60" s="102"/>
      <c r="F60" s="102"/>
      <c r="G60" s="85"/>
      <c r="H60" s="59">
        <v>-1400</v>
      </c>
      <c r="I60" s="59">
        <v>0</v>
      </c>
      <c r="J60" s="59">
        <v>0</v>
      </c>
      <c r="K60" s="59">
        <v>0</v>
      </c>
      <c r="L60" s="59">
        <v>0</v>
      </c>
      <c r="M60" s="59">
        <v>0</v>
      </c>
      <c r="N60" s="59">
        <v>0</v>
      </c>
      <c r="O60" s="59">
        <v>0</v>
      </c>
      <c r="P60" s="59">
        <v>0</v>
      </c>
      <c r="Q60" s="59">
        <v>0</v>
      </c>
      <c r="R60" s="59">
        <v>0</v>
      </c>
      <c r="S60" s="59">
        <v>0</v>
      </c>
      <c r="T60" s="59">
        <f t="shared" si="2"/>
        <v>-1400</v>
      </c>
    </row>
    <row r="61" spans="1:21">
      <c r="B61" s="65" t="s">
        <v>26</v>
      </c>
      <c r="C61" s="26" t="s">
        <v>61</v>
      </c>
      <c r="D61" s="26" t="s">
        <v>61</v>
      </c>
      <c r="E61" s="102"/>
      <c r="F61" s="102"/>
      <c r="G61" s="85"/>
      <c r="H61" s="59">
        <v>-3600</v>
      </c>
      <c r="I61" s="59">
        <v>0</v>
      </c>
      <c r="J61" s="59">
        <v>-3839.19</v>
      </c>
      <c r="K61" s="59">
        <v>0</v>
      </c>
      <c r="L61" s="59">
        <v>0</v>
      </c>
      <c r="M61" s="59">
        <v>0</v>
      </c>
      <c r="N61" s="59">
        <v>0</v>
      </c>
      <c r="O61" s="59">
        <v>-3027.93</v>
      </c>
      <c r="P61" s="59">
        <v>0</v>
      </c>
      <c r="Q61" s="59">
        <v>0</v>
      </c>
      <c r="R61" s="59">
        <v>0</v>
      </c>
      <c r="S61" s="59">
        <v>0</v>
      </c>
      <c r="T61" s="59">
        <f t="shared" si="2"/>
        <v>-10467.120000000001</v>
      </c>
    </row>
    <row r="62" spans="1:21">
      <c r="B62" s="65" t="s">
        <v>26</v>
      </c>
      <c r="C62" s="4" t="s">
        <v>137</v>
      </c>
      <c r="D62" s="26" t="s">
        <v>137</v>
      </c>
      <c r="E62" s="102"/>
      <c r="F62" s="102"/>
      <c r="G62" s="85"/>
      <c r="H62" s="59">
        <v>0</v>
      </c>
      <c r="I62" s="59">
        <v>0</v>
      </c>
      <c r="J62" s="59">
        <v>0</v>
      </c>
      <c r="K62" s="59">
        <v>0</v>
      </c>
      <c r="L62" s="59">
        <v>0</v>
      </c>
      <c r="M62" s="59">
        <v>0</v>
      </c>
      <c r="N62" s="59">
        <v>0</v>
      </c>
      <c r="O62" s="59">
        <v>0</v>
      </c>
      <c r="P62" s="59">
        <v>-7302</v>
      </c>
      <c r="Q62" s="59">
        <v>0</v>
      </c>
      <c r="R62" s="59">
        <v>-499.72000000000025</v>
      </c>
      <c r="S62" s="59">
        <v>0</v>
      </c>
      <c r="T62" s="59">
        <f t="shared" si="2"/>
        <v>-7801.72</v>
      </c>
    </row>
    <row r="63" spans="1:21">
      <c r="A63" s="74"/>
      <c r="B63" s="69" t="s">
        <v>26</v>
      </c>
      <c r="C63" s="15" t="s">
        <v>96</v>
      </c>
      <c r="D63" s="27" t="s">
        <v>97</v>
      </c>
      <c r="E63" s="109"/>
      <c r="F63" s="109"/>
      <c r="G63" s="75"/>
      <c r="H63" s="72">
        <v>0</v>
      </c>
      <c r="I63" s="72">
        <v>-6500</v>
      </c>
      <c r="J63" s="72">
        <v>0</v>
      </c>
      <c r="K63" s="72">
        <v>0</v>
      </c>
      <c r="L63" s="72">
        <v>0</v>
      </c>
      <c r="M63" s="72">
        <v>0</v>
      </c>
      <c r="N63" s="72">
        <v>0</v>
      </c>
      <c r="O63" s="72">
        <v>0</v>
      </c>
      <c r="P63" s="72">
        <v>0</v>
      </c>
      <c r="Q63" s="72">
        <v>0</v>
      </c>
      <c r="R63" s="72">
        <v>0</v>
      </c>
      <c r="S63" s="72">
        <v>0</v>
      </c>
      <c r="T63" s="72">
        <f t="shared" si="2"/>
        <v>-6500</v>
      </c>
    </row>
    <row r="64" spans="1:21">
      <c r="B64" s="65" t="s">
        <v>27</v>
      </c>
      <c r="C64" s="5" t="s">
        <v>28</v>
      </c>
      <c r="D64" s="26" t="s">
        <v>94</v>
      </c>
      <c r="E64" s="39" t="s">
        <v>209</v>
      </c>
      <c r="F64" s="65" t="s">
        <v>362</v>
      </c>
      <c r="H64" s="59">
        <v>-40275.839999999997</v>
      </c>
      <c r="I64" s="59">
        <v>-20000</v>
      </c>
      <c r="J64" s="59">
        <v>5558</v>
      </c>
      <c r="K64" s="59">
        <v>0.11000000000058208</v>
      </c>
      <c r="L64" s="59">
        <v>-5367.04</v>
      </c>
      <c r="M64" s="59">
        <v>0</v>
      </c>
      <c r="N64" s="59">
        <v>0</v>
      </c>
      <c r="O64" s="59">
        <v>0</v>
      </c>
      <c r="P64" s="59">
        <v>0</v>
      </c>
      <c r="Q64" s="59">
        <v>0</v>
      </c>
      <c r="R64" s="59">
        <v>0</v>
      </c>
      <c r="S64" s="59">
        <v>0</v>
      </c>
      <c r="T64" s="59">
        <f t="shared" si="2"/>
        <v>-60084.77</v>
      </c>
    </row>
    <row r="65" spans="1:20">
      <c r="B65" s="65" t="s">
        <v>27</v>
      </c>
      <c r="C65" s="5" t="s">
        <v>13</v>
      </c>
      <c r="D65" s="86" t="s">
        <v>4</v>
      </c>
      <c r="E65" s="39"/>
      <c r="F65" s="39"/>
      <c r="G65" s="67"/>
      <c r="H65" s="59">
        <v>-3940.19</v>
      </c>
      <c r="I65" s="59">
        <v>0</v>
      </c>
      <c r="J65" s="59">
        <v>-61.52</v>
      </c>
      <c r="K65" s="59">
        <v>-11346.96</v>
      </c>
      <c r="L65" s="59">
        <v>0</v>
      </c>
      <c r="M65" s="59">
        <v>0</v>
      </c>
      <c r="N65" s="59">
        <v>0</v>
      </c>
      <c r="O65" s="59">
        <v>0</v>
      </c>
      <c r="P65" s="59">
        <v>0</v>
      </c>
      <c r="Q65" s="59">
        <v>0</v>
      </c>
      <c r="R65" s="59">
        <v>0</v>
      </c>
      <c r="S65" s="59">
        <v>0</v>
      </c>
      <c r="T65" s="59">
        <f t="shared" si="2"/>
        <v>-15348.669999999998</v>
      </c>
    </row>
    <row r="66" spans="1:20">
      <c r="B66" s="65" t="s">
        <v>27</v>
      </c>
      <c r="C66" s="5" t="s">
        <v>101</v>
      </c>
      <c r="D66" s="26" t="s">
        <v>93</v>
      </c>
      <c r="E66" s="39" t="s">
        <v>209</v>
      </c>
      <c r="F66" s="65" t="s">
        <v>362</v>
      </c>
      <c r="H66" s="59">
        <v>0</v>
      </c>
      <c r="I66" s="59">
        <v>-100000</v>
      </c>
      <c r="J66" s="59">
        <v>-42731.380000000005</v>
      </c>
      <c r="K66" s="59">
        <v>-23639.159999999996</v>
      </c>
      <c r="L66" s="59">
        <v>0</v>
      </c>
      <c r="M66" s="59">
        <v>-25622.21</v>
      </c>
      <c r="N66" s="59">
        <v>-2154.5899999999965</v>
      </c>
      <c r="O66" s="59">
        <v>0</v>
      </c>
      <c r="P66" s="59">
        <v>0</v>
      </c>
      <c r="Q66" s="59">
        <v>0</v>
      </c>
      <c r="R66" s="59">
        <v>-8717.39</v>
      </c>
      <c r="S66" s="59">
        <v>-22082.17</v>
      </c>
      <c r="T66" s="59">
        <f t="shared" si="2"/>
        <v>-224946.89999999997</v>
      </c>
    </row>
    <row r="67" spans="1:20">
      <c r="B67" s="65" t="s">
        <v>27</v>
      </c>
      <c r="C67" s="26" t="s">
        <v>16</v>
      </c>
      <c r="D67" s="86" t="s">
        <v>55</v>
      </c>
      <c r="E67" s="39"/>
      <c r="F67" s="39"/>
      <c r="H67" s="59">
        <v>-96.53</v>
      </c>
      <c r="I67" s="59">
        <v>0</v>
      </c>
      <c r="J67" s="59">
        <v>0</v>
      </c>
      <c r="K67" s="59">
        <v>0</v>
      </c>
      <c r="L67" s="59">
        <v>0</v>
      </c>
      <c r="M67" s="59">
        <v>0</v>
      </c>
      <c r="N67" s="59">
        <v>0</v>
      </c>
      <c r="O67" s="59">
        <v>0</v>
      </c>
      <c r="P67" s="59">
        <v>0</v>
      </c>
      <c r="Q67" s="59">
        <v>0</v>
      </c>
      <c r="R67" s="59">
        <v>0</v>
      </c>
      <c r="S67" s="59">
        <v>0</v>
      </c>
      <c r="T67" s="59">
        <f t="shared" si="2"/>
        <v>-96.53</v>
      </c>
    </row>
    <row r="68" spans="1:20">
      <c r="B68" s="65" t="s">
        <v>27</v>
      </c>
      <c r="C68" s="26" t="s">
        <v>29</v>
      </c>
      <c r="D68" s="26" t="s">
        <v>29</v>
      </c>
      <c r="E68" s="39"/>
      <c r="F68" s="39"/>
      <c r="H68" s="59">
        <v>0</v>
      </c>
      <c r="I68" s="59">
        <v>-2425</v>
      </c>
      <c r="J68" s="59">
        <v>0</v>
      </c>
      <c r="K68" s="59">
        <v>0</v>
      </c>
      <c r="L68" s="59">
        <v>0</v>
      </c>
      <c r="M68" s="59">
        <v>0</v>
      </c>
      <c r="N68" s="59">
        <v>0</v>
      </c>
      <c r="O68" s="59">
        <v>0</v>
      </c>
      <c r="P68" s="59">
        <v>0</v>
      </c>
      <c r="Q68" s="59">
        <v>0</v>
      </c>
      <c r="R68" s="59">
        <v>0</v>
      </c>
      <c r="S68" s="59">
        <v>0</v>
      </c>
      <c r="T68" s="59">
        <f t="shared" si="2"/>
        <v>-2425</v>
      </c>
    </row>
    <row r="69" spans="1:20">
      <c r="B69" s="65" t="s">
        <v>27</v>
      </c>
      <c r="C69" s="5" t="s">
        <v>57</v>
      </c>
      <c r="D69" s="26" t="s">
        <v>92</v>
      </c>
      <c r="E69" s="39" t="s">
        <v>209</v>
      </c>
      <c r="F69" s="39"/>
      <c r="H69" s="116">
        <v>-40654</v>
      </c>
      <c r="I69" s="116">
        <v>51584.28</v>
      </c>
      <c r="J69" s="116">
        <v>0</v>
      </c>
      <c r="K69" s="116">
        <v>-104224</v>
      </c>
      <c r="L69" s="116">
        <v>-14598.009999999995</v>
      </c>
      <c r="M69" s="116">
        <v>223.47000000000116</v>
      </c>
      <c r="N69" s="116">
        <v>8068.25</v>
      </c>
      <c r="O69" s="116">
        <v>0</v>
      </c>
      <c r="P69" s="116">
        <v>0</v>
      </c>
      <c r="Q69" s="116">
        <v>0</v>
      </c>
      <c r="R69" s="116">
        <v>0</v>
      </c>
      <c r="S69" s="116">
        <v>0</v>
      </c>
      <c r="T69" s="116">
        <f t="shared" si="2"/>
        <v>-99600.01</v>
      </c>
    </row>
    <row r="70" spans="1:20">
      <c r="B70" s="65" t="s">
        <v>27</v>
      </c>
      <c r="C70" s="4" t="s">
        <v>129</v>
      </c>
      <c r="D70" s="26" t="s">
        <v>133</v>
      </c>
      <c r="E70" s="39"/>
      <c r="F70" s="39"/>
      <c r="H70" s="116">
        <v>0</v>
      </c>
      <c r="I70" s="116">
        <v>0</v>
      </c>
      <c r="J70" s="116">
        <v>0</v>
      </c>
      <c r="K70" s="116">
        <v>0</v>
      </c>
      <c r="L70" s="116">
        <v>0</v>
      </c>
      <c r="M70" s="116">
        <v>0</v>
      </c>
      <c r="N70" s="116">
        <v>0</v>
      </c>
      <c r="O70" s="116">
        <v>-4595.57</v>
      </c>
      <c r="P70" s="116">
        <v>0</v>
      </c>
      <c r="Q70" s="116">
        <v>0</v>
      </c>
      <c r="R70" s="116">
        <v>-26395.99</v>
      </c>
      <c r="S70" s="116">
        <v>-16142.73</v>
      </c>
      <c r="T70" s="116">
        <f t="shared" si="2"/>
        <v>-47134.29</v>
      </c>
    </row>
    <row r="71" spans="1:20">
      <c r="B71" s="65" t="s">
        <v>27</v>
      </c>
      <c r="C71" s="26" t="s">
        <v>63</v>
      </c>
      <c r="D71" s="26" t="s">
        <v>63</v>
      </c>
      <c r="E71" s="39" t="s">
        <v>209</v>
      </c>
      <c r="F71" s="39"/>
      <c r="H71" s="72">
        <v>0</v>
      </c>
      <c r="I71" s="72">
        <v>0</v>
      </c>
      <c r="J71" s="72">
        <v>0</v>
      </c>
      <c r="K71" s="72">
        <v>0</v>
      </c>
      <c r="L71" s="72">
        <v>0</v>
      </c>
      <c r="M71" s="72">
        <v>0</v>
      </c>
      <c r="N71" s="72">
        <v>0</v>
      </c>
      <c r="O71" s="72">
        <v>0</v>
      </c>
      <c r="P71" s="72">
        <v>0</v>
      </c>
      <c r="Q71" s="72">
        <v>0</v>
      </c>
      <c r="R71" s="72">
        <v>0</v>
      </c>
      <c r="S71" s="72">
        <v>-3861.19</v>
      </c>
      <c r="T71" s="72">
        <f t="shared" si="2"/>
        <v>-3861.19</v>
      </c>
    </row>
    <row r="72" spans="1:20">
      <c r="B72" s="93" t="s">
        <v>22</v>
      </c>
      <c r="C72" s="89" t="s">
        <v>33</v>
      </c>
      <c r="D72" s="89" t="s">
        <v>33</v>
      </c>
      <c r="E72" s="108" t="s">
        <v>209</v>
      </c>
      <c r="F72" s="108"/>
      <c r="G72" s="90"/>
      <c r="H72" s="59">
        <v>0</v>
      </c>
      <c r="I72" s="59">
        <v>0</v>
      </c>
      <c r="J72" s="59">
        <v>0</v>
      </c>
      <c r="K72" s="59">
        <v>0</v>
      </c>
      <c r="L72" s="59">
        <v>0</v>
      </c>
      <c r="M72" s="59">
        <v>0</v>
      </c>
      <c r="N72" s="59">
        <v>-149.72999999999999</v>
      </c>
      <c r="O72" s="59">
        <v>-383</v>
      </c>
      <c r="P72" s="59">
        <v>-75</v>
      </c>
      <c r="Q72" s="59">
        <v>0</v>
      </c>
      <c r="R72" s="59">
        <v>0</v>
      </c>
      <c r="S72" s="59">
        <v>-138</v>
      </c>
      <c r="T72" s="116">
        <f t="shared" si="2"/>
        <v>-745.73</v>
      </c>
    </row>
    <row r="73" spans="1:20">
      <c r="B73" s="65" t="s">
        <v>22</v>
      </c>
      <c r="C73" s="5" t="s">
        <v>31</v>
      </c>
      <c r="D73" s="26" t="s">
        <v>68</v>
      </c>
      <c r="E73" s="39"/>
      <c r="F73" s="39"/>
      <c r="H73" s="59">
        <v>0</v>
      </c>
      <c r="I73" s="59">
        <v>-300</v>
      </c>
      <c r="J73" s="59">
        <v>0</v>
      </c>
      <c r="K73" s="59">
        <v>-150</v>
      </c>
      <c r="L73" s="59">
        <v>-150</v>
      </c>
      <c r="M73" s="59">
        <v>0</v>
      </c>
      <c r="N73" s="59">
        <v>0</v>
      </c>
      <c r="O73" s="59">
        <v>0</v>
      </c>
      <c r="P73" s="59">
        <v>0</v>
      </c>
      <c r="Q73" s="59">
        <v>0</v>
      </c>
      <c r="R73" s="59">
        <v>0</v>
      </c>
      <c r="S73" s="59">
        <v>0</v>
      </c>
      <c r="T73" s="59">
        <f t="shared" ref="T73:T104" si="3">SUM(H73:S73)</f>
        <v>-600</v>
      </c>
    </row>
    <row r="74" spans="1:20">
      <c r="A74" s="74"/>
      <c r="B74" s="69" t="s">
        <v>22</v>
      </c>
      <c r="C74" s="15" t="s">
        <v>38</v>
      </c>
      <c r="D74" s="27" t="s">
        <v>83</v>
      </c>
      <c r="E74" s="107"/>
      <c r="F74" s="107"/>
      <c r="G74" s="75"/>
      <c r="H74" s="72">
        <v>-1025.42</v>
      </c>
      <c r="I74" s="72">
        <v>-1025.4299999999998</v>
      </c>
      <c r="J74" s="72">
        <v>-1025.43</v>
      </c>
      <c r="K74" s="72">
        <v>-1025.42</v>
      </c>
      <c r="L74" s="72">
        <v>-1025.4299999999998</v>
      </c>
      <c r="M74" s="72">
        <v>-1025.42</v>
      </c>
      <c r="N74" s="72">
        <v>-1025.42</v>
      </c>
      <c r="O74" s="72">
        <v>-1025.42</v>
      </c>
      <c r="P74" s="72">
        <v>-1025.4000000000001</v>
      </c>
      <c r="Q74" s="72">
        <v>-1025.4000000000001</v>
      </c>
      <c r="R74" s="72">
        <v>-1025.4100000000001</v>
      </c>
      <c r="S74" s="72">
        <v>-1025.42</v>
      </c>
      <c r="T74" s="72">
        <f t="shared" si="3"/>
        <v>-12305.019999999999</v>
      </c>
    </row>
    <row r="75" spans="1:20">
      <c r="B75" s="65" t="s">
        <v>32</v>
      </c>
      <c r="C75" s="5" t="s">
        <v>35</v>
      </c>
      <c r="D75" s="26" t="s">
        <v>79</v>
      </c>
      <c r="E75" s="39"/>
      <c r="F75" s="39"/>
      <c r="H75" s="59">
        <v>-323.93</v>
      </c>
      <c r="I75" s="59">
        <v>-323.67</v>
      </c>
      <c r="J75" s="59">
        <v>0</v>
      </c>
      <c r="K75" s="59">
        <v>-694.62</v>
      </c>
      <c r="L75" s="59">
        <v>-345.8</v>
      </c>
      <c r="M75" s="59">
        <v>-345.74</v>
      </c>
      <c r="N75" s="59">
        <v>-341.54</v>
      </c>
      <c r="O75" s="59">
        <v>-336.08</v>
      </c>
      <c r="P75" s="59">
        <v>-310.19</v>
      </c>
      <c r="Q75" s="59">
        <v>0</v>
      </c>
      <c r="R75" s="59">
        <v>0</v>
      </c>
      <c r="S75" s="59">
        <v>0</v>
      </c>
      <c r="T75" s="59">
        <f t="shared" si="3"/>
        <v>-3021.57</v>
      </c>
    </row>
    <row r="76" spans="1:20">
      <c r="B76" s="65" t="s">
        <v>32</v>
      </c>
      <c r="C76" s="5" t="s">
        <v>109</v>
      </c>
      <c r="D76" s="26" t="s">
        <v>77</v>
      </c>
      <c r="E76" s="39"/>
      <c r="F76" s="39"/>
      <c r="H76" s="59">
        <v>0</v>
      </c>
      <c r="I76" s="59">
        <v>0</v>
      </c>
      <c r="J76" s="59">
        <v>0</v>
      </c>
      <c r="K76" s="59">
        <v>0</v>
      </c>
      <c r="L76" s="59">
        <v>0</v>
      </c>
      <c r="M76" s="59">
        <v>0</v>
      </c>
      <c r="N76" s="59">
        <v>0</v>
      </c>
      <c r="O76" s="59">
        <v>0</v>
      </c>
      <c r="P76" s="59">
        <v>-7000</v>
      </c>
      <c r="Q76" s="59">
        <v>0</v>
      </c>
      <c r="R76" s="59">
        <v>0</v>
      </c>
      <c r="S76" s="59">
        <v>0</v>
      </c>
      <c r="T76" s="59">
        <f t="shared" si="3"/>
        <v>-7000</v>
      </c>
    </row>
    <row r="77" spans="1:20">
      <c r="B77" s="65" t="s">
        <v>32</v>
      </c>
      <c r="C77" s="5" t="s">
        <v>109</v>
      </c>
      <c r="D77" s="26" t="s">
        <v>78</v>
      </c>
      <c r="E77" s="39"/>
      <c r="F77" s="39"/>
      <c r="H77" s="59">
        <v>-3333</v>
      </c>
      <c r="I77" s="59">
        <v>333</v>
      </c>
      <c r="J77" s="59">
        <v>-1500</v>
      </c>
      <c r="K77" s="59">
        <v>-1500</v>
      </c>
      <c r="L77" s="59">
        <v>-1500</v>
      </c>
      <c r="M77" s="59">
        <v>-1500</v>
      </c>
      <c r="N77" s="59">
        <v>-1500</v>
      </c>
      <c r="O77" s="59">
        <v>-1500</v>
      </c>
      <c r="P77" s="59">
        <v>-1500</v>
      </c>
      <c r="Q77" s="59">
        <v>-1500</v>
      </c>
      <c r="R77" s="59">
        <v>-1500</v>
      </c>
      <c r="S77" s="59">
        <v>-1500</v>
      </c>
      <c r="T77" s="59">
        <f t="shared" si="3"/>
        <v>-18000</v>
      </c>
    </row>
    <row r="78" spans="1:20">
      <c r="B78" s="65" t="s">
        <v>32</v>
      </c>
      <c r="C78" s="4" t="s">
        <v>135</v>
      </c>
      <c r="D78" s="4" t="s">
        <v>135</v>
      </c>
      <c r="E78" s="39"/>
      <c r="F78" s="39"/>
      <c r="H78" s="59"/>
      <c r="I78" s="59"/>
      <c r="J78" s="59"/>
      <c r="K78" s="59"/>
      <c r="L78" s="59"/>
      <c r="M78" s="59"/>
      <c r="N78" s="59"/>
      <c r="O78" s="59">
        <v>-307</v>
      </c>
      <c r="P78" s="59">
        <v>0</v>
      </c>
      <c r="Q78" s="59">
        <v>0</v>
      </c>
      <c r="R78" s="59">
        <v>0</v>
      </c>
      <c r="S78" s="59">
        <v>0</v>
      </c>
      <c r="T78" s="59">
        <f t="shared" si="3"/>
        <v>-307</v>
      </c>
    </row>
    <row r="79" spans="1:20">
      <c r="B79" s="65" t="s">
        <v>32</v>
      </c>
      <c r="C79" s="4" t="s">
        <v>130</v>
      </c>
      <c r="D79" s="4" t="s">
        <v>130</v>
      </c>
      <c r="E79" s="39"/>
      <c r="F79" s="39"/>
      <c r="H79" s="59">
        <v>0</v>
      </c>
      <c r="I79" s="59">
        <v>0</v>
      </c>
      <c r="J79" s="59">
        <v>0</v>
      </c>
      <c r="K79" s="59">
        <v>0</v>
      </c>
      <c r="L79" s="59">
        <v>0</v>
      </c>
      <c r="M79" s="59">
        <v>0</v>
      </c>
      <c r="N79" s="59">
        <v>-454</v>
      </c>
      <c r="O79" s="59">
        <v>0</v>
      </c>
      <c r="P79" s="59">
        <v>-158</v>
      </c>
      <c r="Q79" s="59">
        <v>-79</v>
      </c>
      <c r="R79" s="59">
        <v>-79</v>
      </c>
      <c r="S79" s="59">
        <v>-79</v>
      </c>
      <c r="T79" s="59">
        <f t="shared" si="3"/>
        <v>-849</v>
      </c>
    </row>
    <row r="80" spans="1:20" ht="15.05" customHeight="1">
      <c r="B80" s="65" t="s">
        <v>32</v>
      </c>
      <c r="C80" s="5" t="s">
        <v>34</v>
      </c>
      <c r="D80" s="26" t="s">
        <v>67</v>
      </c>
      <c r="E80" s="39"/>
      <c r="F80" s="39"/>
      <c r="G80" s="85"/>
      <c r="H80" s="59">
        <v>-8545.9</v>
      </c>
      <c r="I80" s="59">
        <v>-8545.9</v>
      </c>
      <c r="J80" s="59">
        <v>-8545.9</v>
      </c>
      <c r="K80" s="59">
        <v>-9114.43</v>
      </c>
      <c r="L80" s="59">
        <v>-8924.92</v>
      </c>
      <c r="M80" s="59">
        <v>-8924.92</v>
      </c>
      <c r="N80" s="59">
        <v>-9379.7199999999993</v>
      </c>
      <c r="O80" s="59">
        <v>-9379.7199999999993</v>
      </c>
      <c r="P80" s="59">
        <v>-8014.53</v>
      </c>
      <c r="Q80" s="59">
        <v>-6649.35</v>
      </c>
      <c r="R80" s="59">
        <v>-6649.35</v>
      </c>
      <c r="S80" s="59">
        <v>-6973.0699999999988</v>
      </c>
      <c r="T80" s="59">
        <f t="shared" si="3"/>
        <v>-99647.709999999992</v>
      </c>
    </row>
    <row r="81" spans="1:20">
      <c r="B81" s="61" t="s">
        <v>54</v>
      </c>
      <c r="C81" s="61"/>
      <c r="D81" s="61"/>
      <c r="E81" s="101"/>
      <c r="F81" s="101"/>
      <c r="G81" s="62"/>
      <c r="H81" s="64">
        <f t="shared" ref="H81:S81" si="4">SUM(H9:H80)</f>
        <v>-258163.81999999998</v>
      </c>
      <c r="I81" s="64">
        <f t="shared" si="4"/>
        <v>-360128.53</v>
      </c>
      <c r="J81" s="64">
        <f t="shared" si="4"/>
        <v>-359656.31000000006</v>
      </c>
      <c r="K81" s="64">
        <f t="shared" si="4"/>
        <v>-347991.5</v>
      </c>
      <c r="L81" s="64">
        <f t="shared" si="4"/>
        <v>-272149.68</v>
      </c>
      <c r="M81" s="77">
        <f t="shared" si="4"/>
        <v>-180076.87000000002</v>
      </c>
      <c r="N81" s="64">
        <f t="shared" si="4"/>
        <v>-358827.87999999989</v>
      </c>
      <c r="O81" s="64">
        <f t="shared" si="4"/>
        <v>-340190.25999999995</v>
      </c>
      <c r="P81" s="64">
        <f t="shared" si="4"/>
        <v>-292632.77</v>
      </c>
      <c r="Q81" s="64">
        <f t="shared" si="4"/>
        <v>-316171.69</v>
      </c>
      <c r="R81" s="64">
        <f t="shared" si="4"/>
        <v>-188450.2</v>
      </c>
      <c r="S81" s="64">
        <f t="shared" si="4"/>
        <v>-185293.88</v>
      </c>
      <c r="T81" s="64">
        <f t="shared" si="3"/>
        <v>-3459733.3899999997</v>
      </c>
    </row>
    <row r="82" spans="1:20">
      <c r="B82" s="65" t="s">
        <v>36</v>
      </c>
      <c r="C82" s="5" t="s">
        <v>46</v>
      </c>
      <c r="D82" s="5" t="s">
        <v>46</v>
      </c>
      <c r="H82" s="59">
        <v>15313.08</v>
      </c>
      <c r="I82" s="59">
        <v>110245.31</v>
      </c>
      <c r="J82" s="59">
        <v>82630.240000000005</v>
      </c>
      <c r="K82" s="59">
        <v>72969.98</v>
      </c>
      <c r="L82" s="59">
        <v>11142.050000000003</v>
      </c>
      <c r="M82" s="59">
        <v>-74873.319999999992</v>
      </c>
      <c r="N82" s="59">
        <v>91969.78</v>
      </c>
      <c r="O82" s="59">
        <v>71661.81</v>
      </c>
      <c r="P82" s="59">
        <v>74101.2</v>
      </c>
      <c r="Q82" s="59">
        <v>-136449.78</v>
      </c>
      <c r="R82" s="59">
        <v>11664.879999999997</v>
      </c>
      <c r="S82" s="59">
        <v>-56792.23000000001</v>
      </c>
      <c r="T82" s="59">
        <f t="shared" ref="T82:T84" si="5">SUM(H82:S82)</f>
        <v>273583</v>
      </c>
    </row>
    <row r="83" spans="1:20">
      <c r="B83" s="49" t="s">
        <v>50</v>
      </c>
      <c r="C83" s="5"/>
      <c r="E83" s="39"/>
      <c r="F83" s="39"/>
      <c r="H83" s="84">
        <f t="shared" ref="H83:O83" si="6">SUM(H4:H6)+H81+H82</f>
        <v>0</v>
      </c>
      <c r="I83" s="94">
        <f t="shared" si="6"/>
        <v>0</v>
      </c>
      <c r="J83" s="84">
        <f t="shared" si="6"/>
        <v>0</v>
      </c>
      <c r="K83" s="84">
        <f t="shared" si="6"/>
        <v>0</v>
      </c>
      <c r="L83" s="95">
        <f t="shared" si="6"/>
        <v>1.4551915228366852E-11</v>
      </c>
      <c r="M83" s="95">
        <f t="shared" si="6"/>
        <v>0</v>
      </c>
      <c r="N83" s="95">
        <f t="shared" si="6"/>
        <v>1.4551915228366852E-10</v>
      </c>
      <c r="O83" s="95">
        <f t="shared" si="6"/>
        <v>0</v>
      </c>
      <c r="P83" s="95">
        <f>SUM(P4:P6)+P81+P82+P99</f>
        <v>0</v>
      </c>
      <c r="Q83" s="95">
        <f>SUM(Q4:Q6)+Q81+Q82+Q99</f>
        <v>0</v>
      </c>
      <c r="R83" s="95">
        <f>SUM(R4:R6)+R81+R82+R99</f>
        <v>0</v>
      </c>
      <c r="S83" s="95">
        <f>SUM(S4:S6)+S81+S82+S99</f>
        <v>0</v>
      </c>
      <c r="T83" s="59">
        <f t="shared" si="5"/>
        <v>1.6007106751203537E-10</v>
      </c>
    </row>
    <row r="84" spans="1:20">
      <c r="B84" s="49" t="s">
        <v>376</v>
      </c>
      <c r="C84" s="5"/>
      <c r="E84" s="39"/>
      <c r="F84" s="39"/>
      <c r="H84" s="84"/>
      <c r="I84" s="94"/>
      <c r="J84" s="84"/>
      <c r="K84" s="84"/>
      <c r="L84" s="95"/>
      <c r="M84" s="95"/>
      <c r="N84" s="95"/>
      <c r="O84" s="95"/>
      <c r="P84" s="59">
        <f>P99</f>
        <v>-23059.439999999999</v>
      </c>
      <c r="Q84" s="59">
        <f>Q99</f>
        <v>155820.97999999998</v>
      </c>
      <c r="R84" s="59">
        <f>R99</f>
        <v>-71486.89</v>
      </c>
      <c r="S84" s="59">
        <f>S99</f>
        <v>-25001.18</v>
      </c>
      <c r="T84" s="59">
        <f t="shared" si="5"/>
        <v>36273.469999999979</v>
      </c>
    </row>
    <row r="85" spans="1:20" ht="9" customHeight="1"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</row>
    <row r="86" spans="1:20">
      <c r="B86" s="60" t="s">
        <v>249</v>
      </c>
      <c r="C86" s="61"/>
      <c r="D86" s="61"/>
      <c r="E86" s="101"/>
      <c r="F86" s="101"/>
      <c r="G86" s="62"/>
      <c r="H86" s="21">
        <f t="shared" ref="H86:T86" si="7">SUM(H7,H81)</f>
        <v>-15313.079999999987</v>
      </c>
      <c r="I86" s="21">
        <f t="shared" si="7"/>
        <v>-110245.31000000003</v>
      </c>
      <c r="J86" s="21">
        <f t="shared" si="7"/>
        <v>-82630.240000000049</v>
      </c>
      <c r="K86" s="21">
        <f t="shared" si="7"/>
        <v>-72969.979999999981</v>
      </c>
      <c r="L86" s="21">
        <f t="shared" si="7"/>
        <v>-11142.049999999988</v>
      </c>
      <c r="M86" s="21">
        <f t="shared" si="7"/>
        <v>74873.319999999978</v>
      </c>
      <c r="N86" s="21">
        <f t="shared" si="7"/>
        <v>-91969.779999999853</v>
      </c>
      <c r="O86" s="21">
        <f t="shared" si="7"/>
        <v>-71661.809999999939</v>
      </c>
      <c r="P86" s="21">
        <f t="shared" si="7"/>
        <v>-51041.760000000009</v>
      </c>
      <c r="Q86" s="21">
        <f t="shared" si="7"/>
        <v>-19371.200000000012</v>
      </c>
      <c r="R86" s="21">
        <f t="shared" si="7"/>
        <v>59822.010000000009</v>
      </c>
      <c r="S86" s="21">
        <f t="shared" si="7"/>
        <v>81793.410000000033</v>
      </c>
      <c r="T86" s="21">
        <f t="shared" si="7"/>
        <v>-309856.46999999974</v>
      </c>
    </row>
    <row r="88" spans="1:20" ht="8.5" customHeight="1"/>
    <row r="89" spans="1:20" s="113" customFormat="1">
      <c r="A89" s="50"/>
      <c r="B89" s="53" t="s">
        <v>141</v>
      </c>
      <c r="C89" s="53"/>
      <c r="D89" s="53"/>
      <c r="E89" s="52"/>
      <c r="F89" s="52"/>
      <c r="G89" s="6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</row>
    <row r="90" spans="1:20">
      <c r="B90" s="56" t="s">
        <v>49</v>
      </c>
      <c r="P90" s="84">
        <v>0</v>
      </c>
      <c r="Q90" s="84">
        <v>200000</v>
      </c>
      <c r="T90" s="96">
        <f>SUM(P90:S90)</f>
        <v>200000</v>
      </c>
    </row>
    <row r="91" spans="1:20">
      <c r="B91" s="60" t="s">
        <v>139</v>
      </c>
      <c r="C91" s="61"/>
      <c r="D91" s="61"/>
      <c r="E91" s="101"/>
      <c r="F91" s="101"/>
      <c r="G91" s="62"/>
      <c r="H91" s="21"/>
      <c r="I91" s="21"/>
      <c r="J91" s="21"/>
      <c r="K91" s="21"/>
      <c r="L91" s="21"/>
      <c r="M91" s="21"/>
      <c r="N91" s="21"/>
      <c r="O91" s="21"/>
      <c r="P91" s="21">
        <f>SUM(P90)</f>
        <v>0</v>
      </c>
      <c r="Q91" s="21">
        <f t="shared" ref="Q91:T91" si="8">SUM(Q90)</f>
        <v>200000</v>
      </c>
      <c r="R91" s="21">
        <f t="shared" si="8"/>
        <v>0</v>
      </c>
      <c r="S91" s="21">
        <f t="shared" si="8"/>
        <v>0</v>
      </c>
      <c r="T91" s="97">
        <f t="shared" si="8"/>
        <v>200000</v>
      </c>
    </row>
    <row r="92" spans="1:20" ht="5.55" customHeight="1">
      <c r="T92" s="98"/>
    </row>
    <row r="93" spans="1:20">
      <c r="B93" s="65" t="s">
        <v>26</v>
      </c>
      <c r="C93" s="4" t="s">
        <v>137</v>
      </c>
      <c r="D93" s="49" t="s">
        <v>280</v>
      </c>
      <c r="P93" s="59">
        <v>0</v>
      </c>
      <c r="Q93" s="59">
        <v>0</v>
      </c>
      <c r="R93" s="59">
        <v>0</v>
      </c>
      <c r="S93" s="59">
        <v>0</v>
      </c>
      <c r="T93" s="59">
        <f>SUM(P93:S93)</f>
        <v>0</v>
      </c>
    </row>
    <row r="94" spans="1:20">
      <c r="B94" s="65" t="s">
        <v>27</v>
      </c>
      <c r="C94" s="4" t="s">
        <v>28</v>
      </c>
      <c r="D94" s="49" t="s">
        <v>142</v>
      </c>
      <c r="E94" s="55" t="s">
        <v>209</v>
      </c>
      <c r="F94" s="65" t="s">
        <v>362</v>
      </c>
      <c r="P94" s="59">
        <v>-23059.439999999999</v>
      </c>
      <c r="Q94" s="59">
        <v>-44179.020000000004</v>
      </c>
      <c r="R94" s="59">
        <v>-13938.32</v>
      </c>
      <c r="S94" s="59">
        <v>-25001.18</v>
      </c>
      <c r="T94" s="59">
        <f>SUM(P94:S94)</f>
        <v>-106177.95999999999</v>
      </c>
    </row>
    <row r="95" spans="1:20">
      <c r="B95" s="65" t="s">
        <v>27</v>
      </c>
      <c r="C95" s="4" t="s">
        <v>28</v>
      </c>
      <c r="D95" s="49" t="s">
        <v>145</v>
      </c>
      <c r="E95" s="55" t="s">
        <v>209</v>
      </c>
      <c r="F95" s="65" t="s">
        <v>362</v>
      </c>
      <c r="P95" s="59"/>
      <c r="Q95" s="59">
        <v>0</v>
      </c>
      <c r="R95" s="59">
        <v>-5623.5</v>
      </c>
      <c r="S95" s="59">
        <v>0</v>
      </c>
      <c r="T95" s="59">
        <f>SUM(P95:S95)</f>
        <v>-5623.5</v>
      </c>
    </row>
    <row r="96" spans="1:20">
      <c r="B96" s="65" t="s">
        <v>12</v>
      </c>
      <c r="C96" s="4" t="s">
        <v>129</v>
      </c>
      <c r="D96" s="50" t="s">
        <v>146</v>
      </c>
      <c r="P96" s="59">
        <v>0</v>
      </c>
      <c r="Q96" s="59">
        <v>0</v>
      </c>
      <c r="R96" s="59">
        <v>-51925.07</v>
      </c>
      <c r="S96" s="59">
        <v>0</v>
      </c>
      <c r="T96" s="59">
        <f>SUM(P96:S96)</f>
        <v>-51925.07</v>
      </c>
    </row>
    <row r="97" spans="1:61">
      <c r="B97" s="60" t="s">
        <v>140</v>
      </c>
      <c r="C97" s="61"/>
      <c r="D97" s="61"/>
      <c r="E97" s="101"/>
      <c r="F97" s="101"/>
      <c r="G97" s="62"/>
      <c r="H97" s="21"/>
      <c r="I97" s="21"/>
      <c r="J97" s="21"/>
      <c r="K97" s="21"/>
      <c r="L97" s="21"/>
      <c r="M97" s="21"/>
      <c r="N97" s="21"/>
      <c r="O97" s="21"/>
      <c r="P97" s="21">
        <f>SUM(P93:P96)</f>
        <v>-23059.439999999999</v>
      </c>
      <c r="Q97" s="21">
        <f>SUM(Q93:Q96)</f>
        <v>-44179.020000000004</v>
      </c>
      <c r="R97" s="21">
        <f>SUM(R93:R96)</f>
        <v>-71486.89</v>
      </c>
      <c r="S97" s="21">
        <f>SUM(S93:S96)</f>
        <v>-25001.18</v>
      </c>
      <c r="T97" s="21">
        <f>SUM(T93:T96)</f>
        <v>-163726.53</v>
      </c>
    </row>
    <row r="98" spans="1:61" ht="6.6" customHeight="1">
      <c r="T98" s="98"/>
    </row>
    <row r="99" spans="1:61">
      <c r="B99" s="60" t="s">
        <v>251</v>
      </c>
      <c r="C99" s="61"/>
      <c r="D99" s="61"/>
      <c r="E99" s="101"/>
      <c r="F99" s="101"/>
      <c r="G99" s="62"/>
      <c r="H99" s="21"/>
      <c r="I99" s="21"/>
      <c r="J99" s="21"/>
      <c r="K99" s="21"/>
      <c r="L99" s="21"/>
      <c r="M99" s="21"/>
      <c r="N99" s="21"/>
      <c r="O99" s="21"/>
      <c r="P99" s="21">
        <f>SUM(P91,P97)</f>
        <v>-23059.439999999999</v>
      </c>
      <c r="Q99" s="21">
        <f>SUM(Q91,Q97)</f>
        <v>155820.97999999998</v>
      </c>
      <c r="R99" s="21">
        <f>SUM(R91,R97)</f>
        <v>-71486.89</v>
      </c>
      <c r="S99" s="21">
        <f>SUM(S91,S97)</f>
        <v>-25001.18</v>
      </c>
      <c r="T99" s="21">
        <f>SUM(T91,T97)</f>
        <v>36273.47</v>
      </c>
    </row>
    <row r="101" spans="1:61">
      <c r="Q101" s="99"/>
      <c r="T101" s="49"/>
    </row>
    <row r="102" spans="1:61" s="115" customFormat="1">
      <c r="A102" s="49"/>
      <c r="B102" s="49"/>
      <c r="C102" s="49"/>
      <c r="D102" s="49"/>
      <c r="E102" s="55"/>
      <c r="F102" s="55"/>
      <c r="G102" s="50"/>
      <c r="H102" s="83"/>
      <c r="I102" s="83"/>
      <c r="J102" s="83"/>
      <c r="K102" s="83"/>
      <c r="L102" s="83"/>
      <c r="M102" s="83"/>
      <c r="N102" s="83"/>
      <c r="O102" s="83"/>
      <c r="P102" s="83"/>
      <c r="Q102" s="99"/>
      <c r="R102" s="83"/>
      <c r="S102" s="83"/>
      <c r="T102" s="83"/>
      <c r="U102" s="111"/>
      <c r="V102" s="111"/>
      <c r="W102" s="111"/>
      <c r="X102" s="111"/>
      <c r="Y102" s="111"/>
      <c r="Z102" s="111"/>
      <c r="AA102" s="111"/>
      <c r="AB102" s="111"/>
      <c r="AC102" s="111"/>
      <c r="AD102" s="111"/>
      <c r="AE102" s="111"/>
      <c r="AF102" s="111"/>
      <c r="AG102" s="111"/>
      <c r="AH102" s="111"/>
      <c r="AI102" s="111"/>
      <c r="AJ102" s="111"/>
      <c r="AK102" s="111"/>
      <c r="AL102" s="111"/>
      <c r="AM102" s="111"/>
      <c r="AN102" s="111"/>
      <c r="AO102" s="111"/>
      <c r="AP102" s="111"/>
      <c r="AQ102" s="111"/>
      <c r="AR102" s="111"/>
      <c r="AS102" s="111"/>
      <c r="AT102" s="111"/>
      <c r="AU102" s="111"/>
      <c r="AV102" s="111"/>
      <c r="AW102" s="111"/>
      <c r="AX102" s="111"/>
      <c r="AY102" s="111"/>
      <c r="AZ102" s="111"/>
      <c r="BA102" s="111"/>
      <c r="BB102" s="111"/>
      <c r="BC102" s="111"/>
      <c r="BD102" s="111"/>
      <c r="BE102" s="111"/>
      <c r="BF102" s="111"/>
      <c r="BG102" s="111"/>
      <c r="BH102" s="111"/>
      <c r="BI102" s="111"/>
    </row>
    <row r="108" spans="1:61" s="49" customFormat="1">
      <c r="B108" s="60" t="s">
        <v>209</v>
      </c>
      <c r="C108" s="61"/>
      <c r="D108" s="61"/>
      <c r="E108" s="101"/>
      <c r="F108" s="61"/>
      <c r="G108" s="63"/>
      <c r="H108" s="42">
        <f>SUMIF($E$8:$E$102,$B108,H$8:H$102)</f>
        <v>-118547.81</v>
      </c>
      <c r="I108" s="42">
        <f t="shared" ref="I108:S108" si="9">SUMIF($E$8:$E$102,$B108,I$8:I$102)</f>
        <v>-146973.09</v>
      </c>
      <c r="J108" s="42">
        <f t="shared" si="9"/>
        <v>-143303.87</v>
      </c>
      <c r="K108" s="42">
        <f t="shared" si="9"/>
        <v>-141167.03</v>
      </c>
      <c r="L108" s="42">
        <f t="shared" si="9"/>
        <v>-124440.04999999999</v>
      </c>
      <c r="M108" s="42">
        <f t="shared" si="9"/>
        <v>-89398.739999999991</v>
      </c>
      <c r="N108" s="42">
        <f t="shared" si="9"/>
        <v>-155223.89000000001</v>
      </c>
      <c r="O108" s="42">
        <f t="shared" si="9"/>
        <v>-133560.79999999999</v>
      </c>
      <c r="P108" s="42">
        <f t="shared" si="9"/>
        <v>-161231.34</v>
      </c>
      <c r="Q108" s="42">
        <f t="shared" si="9"/>
        <v>-198165.86</v>
      </c>
      <c r="R108" s="42">
        <f t="shared" si="9"/>
        <v>-49261.04</v>
      </c>
      <c r="S108" s="42">
        <f t="shared" si="9"/>
        <v>-51082.539999999994</v>
      </c>
      <c r="T108" s="42">
        <f t="shared" ref="T108:T109" si="10">SUM(H108:S108)</f>
        <v>-1512356.06</v>
      </c>
      <c r="U108" s="111"/>
    </row>
    <row r="109" spans="1:61" s="49" customFormat="1">
      <c r="B109" s="60" t="s">
        <v>375</v>
      </c>
      <c r="C109" s="61"/>
      <c r="D109" s="61"/>
      <c r="E109" s="101"/>
      <c r="F109" s="61"/>
      <c r="G109" s="63"/>
      <c r="H109" s="42">
        <f>H81+H97-H108</f>
        <v>-139616.00999999998</v>
      </c>
      <c r="I109" s="42">
        <f t="shared" ref="I109:S109" si="11">I81+I97-I108</f>
        <v>-213155.44000000003</v>
      </c>
      <c r="J109" s="42">
        <f t="shared" si="11"/>
        <v>-216352.44000000006</v>
      </c>
      <c r="K109" s="42">
        <f t="shared" si="11"/>
        <v>-206824.47</v>
      </c>
      <c r="L109" s="42">
        <f t="shared" si="11"/>
        <v>-147709.63</v>
      </c>
      <c r="M109" s="42">
        <f t="shared" si="11"/>
        <v>-90678.130000000034</v>
      </c>
      <c r="N109" s="42">
        <f t="shared" si="11"/>
        <v>-203603.98999999987</v>
      </c>
      <c r="O109" s="42">
        <f t="shared" si="11"/>
        <v>-206629.45999999996</v>
      </c>
      <c r="P109" s="42">
        <f t="shared" si="11"/>
        <v>-154460.87000000002</v>
      </c>
      <c r="Q109" s="42">
        <f t="shared" si="11"/>
        <v>-162184.85000000003</v>
      </c>
      <c r="R109" s="42">
        <f t="shared" si="11"/>
        <v>-210676.05000000002</v>
      </c>
      <c r="S109" s="42">
        <f t="shared" si="11"/>
        <v>-159212.52000000002</v>
      </c>
      <c r="T109" s="42">
        <f t="shared" si="10"/>
        <v>-2111103.8600000003</v>
      </c>
      <c r="U109" s="111"/>
    </row>
    <row r="110" spans="1:61" s="49" customFormat="1" ht="6.05" customHeight="1">
      <c r="E110" s="55"/>
      <c r="G110" s="50"/>
      <c r="U110" s="111"/>
    </row>
    <row r="111" spans="1:61" s="49" customFormat="1">
      <c r="B111" s="60" t="s">
        <v>362</v>
      </c>
      <c r="C111" s="61"/>
      <c r="D111" s="61"/>
      <c r="E111" s="101"/>
      <c r="F111" s="61"/>
      <c r="G111" s="63"/>
      <c r="H111" s="42">
        <f>SUMIF($F$8:$F$102,$B111,H$8:H$102)</f>
        <v>-40275.839999999997</v>
      </c>
      <c r="I111" s="42">
        <f t="shared" ref="I111:S111" si="12">SUMIF($F$8:$F$102,$B111,I$8:I$102)</f>
        <v>-120000</v>
      </c>
      <c r="J111" s="42">
        <f t="shared" si="12"/>
        <v>-37173.380000000005</v>
      </c>
      <c r="K111" s="42">
        <f t="shared" si="12"/>
        <v>-23639.049999999996</v>
      </c>
      <c r="L111" s="42">
        <f t="shared" si="12"/>
        <v>-5367.04</v>
      </c>
      <c r="M111" s="42">
        <f t="shared" si="12"/>
        <v>-25622.21</v>
      </c>
      <c r="N111" s="42">
        <f t="shared" si="12"/>
        <v>-2154.5899999999965</v>
      </c>
      <c r="O111" s="42">
        <f t="shared" si="12"/>
        <v>0</v>
      </c>
      <c r="P111" s="42">
        <f t="shared" si="12"/>
        <v>-23059.439999999999</v>
      </c>
      <c r="Q111" s="42">
        <f t="shared" si="12"/>
        <v>-44179.020000000004</v>
      </c>
      <c r="R111" s="42">
        <f t="shared" si="12"/>
        <v>-28279.21</v>
      </c>
      <c r="S111" s="42">
        <f t="shared" si="12"/>
        <v>-47083.35</v>
      </c>
      <c r="T111" s="42">
        <f t="shared" ref="T111" si="13">SUM(H111:S111)</f>
        <v>-396833.13</v>
      </c>
      <c r="U111" s="111"/>
    </row>
  </sheetData>
  <mergeCells count="6">
    <mergeCell ref="E2:E3"/>
    <mergeCell ref="H2:S2"/>
    <mergeCell ref="F2:F3"/>
    <mergeCell ref="B2:B3"/>
    <mergeCell ref="C2:C3"/>
    <mergeCell ref="D2:D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1287F-5AF7-4A11-9CB6-734739B361C2}">
  <dimension ref="A1:V115"/>
  <sheetViews>
    <sheetView showGridLines="0" zoomScale="85" zoomScaleNormal="85" workbookViewId="0">
      <pane xSplit="7" ySplit="7" topLeftCell="L83" activePane="bottomRight" state="frozen"/>
      <selection pane="topRight"/>
      <selection pane="bottomLeft"/>
      <selection pane="bottomRight"/>
    </sheetView>
  </sheetViews>
  <sheetFormatPr defaultColWidth="8.69921875" defaultRowHeight="14"/>
  <cols>
    <col min="1" max="1" width="1.09765625" style="49" customWidth="1"/>
    <col min="2" max="2" width="23.796875" style="49" customWidth="1"/>
    <col min="3" max="3" width="26.09765625" style="49" customWidth="1"/>
    <col min="4" max="4" width="22.5" style="49" customWidth="1"/>
    <col min="5" max="5" width="16.296875" style="55" customWidth="1"/>
    <col min="6" max="6" width="14.09765625" style="49" customWidth="1"/>
    <col min="7" max="7" width="0.8984375" style="50" customWidth="1"/>
    <col min="8" max="8" width="12.5" style="51" customWidth="1"/>
    <col min="9" max="9" width="11.5" style="51" customWidth="1"/>
    <col min="10" max="13" width="11.796875" style="51" customWidth="1"/>
    <col min="14" max="14" width="11.796875" style="51" customWidth="1" collapsed="1"/>
    <col min="15" max="19" width="11.5" style="51" customWidth="1"/>
    <col min="20" max="20" width="12.5" style="51" customWidth="1"/>
    <col min="21" max="16384" width="8.69921875" style="111"/>
  </cols>
  <sheetData>
    <row r="1" spans="1:22" ht="6.6" customHeight="1"/>
    <row r="2" spans="1:22" ht="10.9" customHeight="1">
      <c r="B2" s="174" t="s">
        <v>0</v>
      </c>
      <c r="C2" s="174" t="s">
        <v>47</v>
      </c>
      <c r="D2" s="174" t="s">
        <v>100</v>
      </c>
      <c r="E2" s="174" t="s">
        <v>53</v>
      </c>
      <c r="F2" s="174" t="s">
        <v>361</v>
      </c>
      <c r="H2" s="174" t="s">
        <v>51</v>
      </c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53"/>
      <c r="V2" s="111">
        <v>-1</v>
      </c>
    </row>
    <row r="3" spans="1:22" ht="11.05" customHeight="1">
      <c r="B3" s="174"/>
      <c r="C3" s="174"/>
      <c r="D3" s="174"/>
      <c r="E3" s="174"/>
      <c r="F3" s="174"/>
      <c r="H3" s="52" t="s">
        <v>317</v>
      </c>
      <c r="I3" s="52" t="s">
        <v>318</v>
      </c>
      <c r="J3" s="52" t="s">
        <v>319</v>
      </c>
      <c r="K3" s="52" t="s">
        <v>320</v>
      </c>
      <c r="L3" s="52" t="s">
        <v>321</v>
      </c>
      <c r="M3" s="52" t="s">
        <v>322</v>
      </c>
      <c r="N3" s="52" t="s">
        <v>323</v>
      </c>
      <c r="O3" s="52" t="s">
        <v>324</v>
      </c>
      <c r="P3" s="52" t="s">
        <v>325</v>
      </c>
      <c r="Q3" s="52" t="s">
        <v>326</v>
      </c>
      <c r="R3" s="52" t="s">
        <v>327</v>
      </c>
      <c r="S3" s="52" t="s">
        <v>328</v>
      </c>
      <c r="T3" s="52" t="s">
        <v>213</v>
      </c>
    </row>
    <row r="4" spans="1:22">
      <c r="B4" s="56" t="s">
        <v>1</v>
      </c>
      <c r="H4" s="57">
        <v>250044.62</v>
      </c>
      <c r="I4" s="57">
        <v>233033.91</v>
      </c>
      <c r="J4" s="57">
        <v>261841.98</v>
      </c>
      <c r="K4" s="57">
        <v>251985.57</v>
      </c>
      <c r="L4" s="57">
        <v>270270.3</v>
      </c>
      <c r="M4" s="57">
        <v>261691.28</v>
      </c>
      <c r="N4" s="57">
        <v>272963.39</v>
      </c>
      <c r="O4" s="57">
        <v>281699.74</v>
      </c>
      <c r="P4" s="57">
        <v>258868.17</v>
      </c>
      <c r="Q4" s="57">
        <v>272695.03999999998</v>
      </c>
      <c r="R4" s="57">
        <v>268056.96999999997</v>
      </c>
      <c r="S4" s="57">
        <v>284302.68</v>
      </c>
      <c r="T4" s="57">
        <f>SUM(H4:S4)</f>
        <v>3167453.6500000008</v>
      </c>
    </row>
    <row r="5" spans="1:22">
      <c r="B5" s="56" t="s">
        <v>48</v>
      </c>
      <c r="H5" s="57">
        <v>6000</v>
      </c>
      <c r="I5" s="57">
        <v>0</v>
      </c>
      <c r="J5" s="57">
        <v>0</v>
      </c>
      <c r="K5" s="57">
        <v>25116</v>
      </c>
      <c r="L5" s="57">
        <v>0</v>
      </c>
      <c r="M5" s="57">
        <v>3000</v>
      </c>
      <c r="N5" s="57">
        <v>0</v>
      </c>
      <c r="O5" s="57">
        <v>0</v>
      </c>
      <c r="P5" s="57">
        <v>4000</v>
      </c>
      <c r="Q5" s="57">
        <v>57682.77</v>
      </c>
      <c r="R5" s="57">
        <v>0</v>
      </c>
      <c r="S5" s="57">
        <v>0</v>
      </c>
      <c r="T5" s="57">
        <f>SUM(H5:S5)</f>
        <v>95798.76999999999</v>
      </c>
    </row>
    <row r="6" spans="1:22">
      <c r="B6" s="56" t="s">
        <v>49</v>
      </c>
      <c r="H6" s="57">
        <v>0</v>
      </c>
      <c r="I6" s="57">
        <v>3709.81</v>
      </c>
      <c r="J6" s="57">
        <v>0</v>
      </c>
      <c r="K6" s="57">
        <v>17329.810000000001</v>
      </c>
      <c r="L6" s="57">
        <v>3620.55</v>
      </c>
      <c r="M6" s="57">
        <v>0</v>
      </c>
      <c r="N6" s="57">
        <v>0</v>
      </c>
      <c r="O6" s="57">
        <v>0</v>
      </c>
      <c r="P6" s="57">
        <v>3493.31</v>
      </c>
      <c r="Q6" s="57">
        <v>0</v>
      </c>
      <c r="R6" s="57">
        <v>0</v>
      </c>
      <c r="S6" s="57">
        <v>0</v>
      </c>
      <c r="T6" s="57">
        <f>SUM(H6:S6)</f>
        <v>28153.480000000003</v>
      </c>
    </row>
    <row r="7" spans="1:22">
      <c r="B7" s="60" t="s">
        <v>52</v>
      </c>
      <c r="C7" s="61"/>
      <c r="D7" s="61"/>
      <c r="E7" s="101"/>
      <c r="F7" s="61"/>
      <c r="G7" s="62"/>
      <c r="H7" s="42">
        <f>SUM(H4:H6)</f>
        <v>256044.62</v>
      </c>
      <c r="I7" s="42">
        <f t="shared" ref="I7:S7" si="0">SUM(I4:I6)</f>
        <v>236743.72</v>
      </c>
      <c r="J7" s="42">
        <f t="shared" si="0"/>
        <v>261841.98</v>
      </c>
      <c r="K7" s="42">
        <f t="shared" si="0"/>
        <v>294431.38</v>
      </c>
      <c r="L7" s="42">
        <f t="shared" si="0"/>
        <v>273890.84999999998</v>
      </c>
      <c r="M7" s="42">
        <f t="shared" si="0"/>
        <v>264691.28000000003</v>
      </c>
      <c r="N7" s="42">
        <f t="shared" si="0"/>
        <v>272963.39</v>
      </c>
      <c r="O7" s="42">
        <f t="shared" si="0"/>
        <v>281699.74</v>
      </c>
      <c r="P7" s="42">
        <f t="shared" si="0"/>
        <v>266361.48000000004</v>
      </c>
      <c r="Q7" s="42">
        <f t="shared" si="0"/>
        <v>330377.81</v>
      </c>
      <c r="R7" s="42">
        <f t="shared" si="0"/>
        <v>268056.96999999997</v>
      </c>
      <c r="S7" s="42">
        <f t="shared" si="0"/>
        <v>284302.68</v>
      </c>
      <c r="T7" s="42">
        <f>SUM(H7:S7)</f>
        <v>3291405.9</v>
      </c>
    </row>
    <row r="8" spans="1:22" ht="9" customHeight="1"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</row>
    <row r="9" spans="1:22">
      <c r="B9" s="65" t="s">
        <v>39</v>
      </c>
      <c r="C9" s="66" t="s">
        <v>131</v>
      </c>
      <c r="D9" s="65" t="s">
        <v>99</v>
      </c>
      <c r="E9" s="102"/>
      <c r="F9" s="65"/>
      <c r="G9" s="67"/>
      <c r="H9" s="59">
        <v>-19000</v>
      </c>
      <c r="I9" s="59">
        <v>-24000</v>
      </c>
      <c r="J9" s="59">
        <v>-26000</v>
      </c>
      <c r="K9" s="59">
        <v>-26000</v>
      </c>
      <c r="L9" s="59">
        <v>-26000</v>
      </c>
      <c r="M9" s="59">
        <v>-26000</v>
      </c>
      <c r="N9" s="59">
        <v>-26000</v>
      </c>
      <c r="O9" s="59">
        <v>-26000</v>
      </c>
      <c r="P9" s="59">
        <v>-26000</v>
      </c>
      <c r="Q9" s="59">
        <v>-27800</v>
      </c>
      <c r="R9" s="59">
        <v>-26000</v>
      </c>
      <c r="S9" s="59">
        <v>-26000</v>
      </c>
      <c r="T9" s="59">
        <f t="shared" ref="T9:T40" si="1">SUM(H9:S9)</f>
        <v>-304800</v>
      </c>
    </row>
    <row r="10" spans="1:22">
      <c r="B10" s="65" t="s">
        <v>39</v>
      </c>
      <c r="C10" s="65" t="s">
        <v>129</v>
      </c>
      <c r="D10" s="65"/>
      <c r="E10" s="102"/>
      <c r="F10" s="65"/>
      <c r="G10" s="67"/>
      <c r="H10" s="59">
        <v>0</v>
      </c>
      <c r="I10" s="59">
        <v>0</v>
      </c>
      <c r="J10" s="59">
        <v>0</v>
      </c>
      <c r="K10" s="59">
        <v>0</v>
      </c>
      <c r="L10" s="59">
        <v>-3472.53</v>
      </c>
      <c r="M10" s="59">
        <v>0</v>
      </c>
      <c r="N10" s="59">
        <v>0</v>
      </c>
      <c r="O10" s="59">
        <v>0</v>
      </c>
      <c r="P10" s="59">
        <v>0</v>
      </c>
      <c r="Q10" s="59">
        <v>0</v>
      </c>
      <c r="R10" s="59">
        <v>0</v>
      </c>
      <c r="S10" s="59">
        <v>0</v>
      </c>
      <c r="T10" s="59">
        <f t="shared" si="1"/>
        <v>-3472.53</v>
      </c>
    </row>
    <row r="11" spans="1:22">
      <c r="B11" s="65" t="s">
        <v>39</v>
      </c>
      <c r="C11" s="65" t="s">
        <v>269</v>
      </c>
      <c r="D11" s="65"/>
      <c r="E11" s="102"/>
      <c r="F11" s="65"/>
      <c r="G11" s="67"/>
      <c r="H11" s="59">
        <v>0</v>
      </c>
      <c r="I11" s="59">
        <v>0</v>
      </c>
      <c r="J11" s="59">
        <v>0</v>
      </c>
      <c r="K11" s="59">
        <v>0</v>
      </c>
      <c r="L11" s="59">
        <v>0</v>
      </c>
      <c r="M11" s="59">
        <v>-15600</v>
      </c>
      <c r="N11" s="59">
        <v>0</v>
      </c>
      <c r="O11" s="59">
        <v>0</v>
      </c>
      <c r="P11" s="59">
        <v>0</v>
      </c>
      <c r="Q11" s="59">
        <v>0</v>
      </c>
      <c r="R11" s="59">
        <v>0</v>
      </c>
      <c r="S11" s="59">
        <v>0</v>
      </c>
      <c r="T11" s="59">
        <f t="shared" si="1"/>
        <v>-15600</v>
      </c>
    </row>
    <row r="12" spans="1:22">
      <c r="B12" s="65" t="s">
        <v>39</v>
      </c>
      <c r="C12" s="65" t="s">
        <v>117</v>
      </c>
      <c r="D12" s="65"/>
      <c r="E12" s="102"/>
      <c r="F12" s="66"/>
      <c r="G12" s="67"/>
      <c r="H12" s="59">
        <v>-2457.13</v>
      </c>
      <c r="I12" s="59">
        <v>-2457.13</v>
      </c>
      <c r="J12" s="59">
        <v>-2457.13</v>
      </c>
      <c r="K12" s="59">
        <v>0</v>
      </c>
      <c r="L12" s="59">
        <v>0</v>
      </c>
      <c r="M12" s="59">
        <v>0</v>
      </c>
      <c r="N12" s="59">
        <v>0</v>
      </c>
      <c r="O12" s="59">
        <v>0</v>
      </c>
      <c r="P12" s="59">
        <v>0</v>
      </c>
      <c r="Q12" s="59">
        <v>0</v>
      </c>
      <c r="R12" s="59">
        <v>0</v>
      </c>
      <c r="S12" s="59">
        <v>0</v>
      </c>
      <c r="T12" s="59">
        <f t="shared" si="1"/>
        <v>-7371.39</v>
      </c>
    </row>
    <row r="13" spans="1:22">
      <c r="B13" s="65" t="s">
        <v>39</v>
      </c>
      <c r="C13" s="65" t="s">
        <v>270</v>
      </c>
      <c r="D13" s="66" t="s">
        <v>271</v>
      </c>
      <c r="E13" s="103"/>
      <c r="F13" s="66"/>
      <c r="G13" s="67"/>
      <c r="H13" s="59">
        <v>0</v>
      </c>
      <c r="I13" s="59">
        <v>0</v>
      </c>
      <c r="J13" s="59">
        <v>0</v>
      </c>
      <c r="K13" s="59">
        <v>0</v>
      </c>
      <c r="L13" s="59">
        <v>0</v>
      </c>
      <c r="M13" s="59">
        <v>0</v>
      </c>
      <c r="N13" s="59">
        <v>0</v>
      </c>
      <c r="O13" s="59">
        <v>0</v>
      </c>
      <c r="P13" s="59">
        <v>0</v>
      </c>
      <c r="Q13" s="59">
        <v>0</v>
      </c>
      <c r="R13" s="59">
        <v>-10000</v>
      </c>
      <c r="S13" s="59">
        <v>-10000</v>
      </c>
      <c r="T13" s="59">
        <f t="shared" si="1"/>
        <v>-20000</v>
      </c>
    </row>
    <row r="14" spans="1:22">
      <c r="A14" s="74"/>
      <c r="B14" s="69" t="s">
        <v>39</v>
      </c>
      <c r="C14" s="69" t="s">
        <v>63</v>
      </c>
      <c r="D14" s="69"/>
      <c r="E14" s="104"/>
      <c r="F14" s="70"/>
      <c r="G14" s="71"/>
      <c r="H14" s="72">
        <v>-6433.33</v>
      </c>
      <c r="I14" s="72">
        <v>-6433.33</v>
      </c>
      <c r="J14" s="72">
        <v>-6433.34</v>
      </c>
      <c r="K14" s="72">
        <v>-6233</v>
      </c>
      <c r="L14" s="72">
        <v>-6233</v>
      </c>
      <c r="M14" s="72">
        <v>-6233</v>
      </c>
      <c r="N14" s="72">
        <v>-6233</v>
      </c>
      <c r="O14" s="72">
        <v>-6233</v>
      </c>
      <c r="P14" s="72">
        <v>-6233</v>
      </c>
      <c r="Q14" s="72">
        <v>-6000.0000000000018</v>
      </c>
      <c r="R14" s="72">
        <v>-7584.17</v>
      </c>
      <c r="S14" s="72">
        <v>-6000</v>
      </c>
      <c r="T14" s="72">
        <f t="shared" si="1"/>
        <v>-76282.17</v>
      </c>
    </row>
    <row r="15" spans="1:22">
      <c r="B15" s="65" t="s">
        <v>9</v>
      </c>
      <c r="C15" s="65" t="s">
        <v>41</v>
      </c>
      <c r="D15" s="65"/>
      <c r="E15" s="102"/>
      <c r="F15" s="65"/>
      <c r="H15" s="59">
        <v>-1500</v>
      </c>
      <c r="I15" s="59">
        <v>-1500</v>
      </c>
      <c r="J15" s="59">
        <v>-1500</v>
      </c>
      <c r="K15" s="59">
        <v>-1500</v>
      </c>
      <c r="L15" s="59">
        <v>0</v>
      </c>
      <c r="M15" s="59">
        <v>0</v>
      </c>
      <c r="N15" s="59">
        <v>0</v>
      </c>
      <c r="O15" s="59">
        <v>0</v>
      </c>
      <c r="P15" s="59">
        <v>0</v>
      </c>
      <c r="Q15" s="59">
        <v>0</v>
      </c>
      <c r="R15" s="59">
        <v>0</v>
      </c>
      <c r="S15" s="59">
        <v>0</v>
      </c>
      <c r="T15" s="59">
        <f t="shared" si="1"/>
        <v>-6000</v>
      </c>
    </row>
    <row r="16" spans="1:22">
      <c r="B16" s="65" t="s">
        <v>9</v>
      </c>
      <c r="C16" s="65" t="s">
        <v>170</v>
      </c>
      <c r="D16" s="65"/>
      <c r="E16" s="102"/>
      <c r="F16" s="66"/>
      <c r="H16" s="59">
        <v>-16171.55</v>
      </c>
      <c r="I16" s="59">
        <v>-16171.55</v>
      </c>
      <c r="J16" s="59">
        <v>-16171.53</v>
      </c>
      <c r="K16" s="59">
        <v>0</v>
      </c>
      <c r="L16" s="59">
        <v>0</v>
      </c>
      <c r="M16" s="59">
        <v>0</v>
      </c>
      <c r="N16" s="59">
        <v>0</v>
      </c>
      <c r="O16" s="59">
        <v>0</v>
      </c>
      <c r="P16" s="59">
        <v>0</v>
      </c>
      <c r="Q16" s="59">
        <v>0</v>
      </c>
      <c r="R16" s="59">
        <v>0</v>
      </c>
      <c r="S16" s="59">
        <v>0</v>
      </c>
      <c r="T16" s="59">
        <f t="shared" si="1"/>
        <v>-48514.63</v>
      </c>
    </row>
    <row r="17" spans="1:20">
      <c r="A17" s="74"/>
      <c r="B17" s="69" t="s">
        <v>9</v>
      </c>
      <c r="C17" s="69" t="s">
        <v>214</v>
      </c>
      <c r="D17" s="69"/>
      <c r="E17" s="104"/>
      <c r="F17" s="69"/>
      <c r="G17" s="75"/>
      <c r="H17" s="72">
        <v>0</v>
      </c>
      <c r="I17" s="72">
        <v>-2083.33</v>
      </c>
      <c r="J17" s="72">
        <v>-2083.33</v>
      </c>
      <c r="K17" s="72">
        <v>-2083.33</v>
      </c>
      <c r="L17" s="72">
        <v>-2128.33</v>
      </c>
      <c r="M17" s="72">
        <v>-2173.33</v>
      </c>
      <c r="N17" s="72">
        <v>-2083.33</v>
      </c>
      <c r="O17" s="72">
        <v>-2083.33</v>
      </c>
      <c r="P17" s="72">
        <v>-2083.33</v>
      </c>
      <c r="Q17" s="72">
        <v>-2083.33</v>
      </c>
      <c r="R17" s="72">
        <v>-2083.33</v>
      </c>
      <c r="S17" s="72">
        <v>-2083.33</v>
      </c>
      <c r="T17" s="72">
        <f t="shared" si="1"/>
        <v>-23051.630000000005</v>
      </c>
    </row>
    <row r="18" spans="1:20">
      <c r="B18" s="65" t="s">
        <v>10</v>
      </c>
      <c r="C18" s="65" t="s">
        <v>7</v>
      </c>
      <c r="D18" s="65"/>
      <c r="E18" s="102"/>
      <c r="F18" s="65"/>
      <c r="H18" s="59">
        <v>0</v>
      </c>
      <c r="I18" s="59">
        <v>0</v>
      </c>
      <c r="J18" s="59">
        <v>0</v>
      </c>
      <c r="K18" s="59">
        <v>0</v>
      </c>
      <c r="L18" s="59">
        <v>0</v>
      </c>
      <c r="M18" s="59">
        <v>0</v>
      </c>
      <c r="N18" s="59">
        <v>0</v>
      </c>
      <c r="O18" s="59">
        <v>0</v>
      </c>
      <c r="P18" s="59">
        <v>-509.54</v>
      </c>
      <c r="Q18" s="59">
        <v>0</v>
      </c>
      <c r="R18" s="59">
        <v>0</v>
      </c>
      <c r="S18" s="59">
        <v>0</v>
      </c>
      <c r="T18" s="59">
        <f t="shared" si="1"/>
        <v>-509.54</v>
      </c>
    </row>
    <row r="19" spans="1:20">
      <c r="B19" s="65" t="s">
        <v>10</v>
      </c>
      <c r="C19" s="65" t="s">
        <v>116</v>
      </c>
      <c r="D19" s="65" t="s">
        <v>331</v>
      </c>
      <c r="E19" s="102"/>
      <c r="F19" s="65"/>
      <c r="H19" s="59">
        <v>0</v>
      </c>
      <c r="I19" s="59">
        <v>0</v>
      </c>
      <c r="J19" s="59">
        <v>0</v>
      </c>
      <c r="K19" s="59">
        <v>0</v>
      </c>
      <c r="L19" s="59">
        <v>0</v>
      </c>
      <c r="M19" s="59">
        <v>0</v>
      </c>
      <c r="N19" s="59">
        <v>0</v>
      </c>
      <c r="O19" s="59">
        <v>0</v>
      </c>
      <c r="P19" s="59">
        <v>0</v>
      </c>
      <c r="Q19" s="59">
        <v>-1750</v>
      </c>
      <c r="R19" s="59">
        <v>0</v>
      </c>
      <c r="S19" s="59">
        <v>0</v>
      </c>
      <c r="T19" s="59">
        <f t="shared" si="1"/>
        <v>-1750</v>
      </c>
    </row>
    <row r="20" spans="1:20">
      <c r="A20" s="74"/>
      <c r="B20" s="69" t="s">
        <v>10</v>
      </c>
      <c r="C20" s="69" t="s">
        <v>116</v>
      </c>
      <c r="D20" s="69"/>
      <c r="E20" s="104"/>
      <c r="F20" s="69"/>
      <c r="G20" s="71"/>
      <c r="H20" s="72">
        <v>-7750</v>
      </c>
      <c r="I20" s="72">
        <v>-7900</v>
      </c>
      <c r="J20" s="72">
        <v>-7850</v>
      </c>
      <c r="K20" s="72">
        <v>-7900</v>
      </c>
      <c r="L20" s="72">
        <v>-7900</v>
      </c>
      <c r="M20" s="72">
        <v>-8000</v>
      </c>
      <c r="N20" s="72">
        <v>-8000</v>
      </c>
      <c r="O20" s="72">
        <v>-7850</v>
      </c>
      <c r="P20" s="72">
        <v>-7800</v>
      </c>
      <c r="Q20" s="72">
        <v>-7750</v>
      </c>
      <c r="R20" s="72">
        <v>-7750</v>
      </c>
      <c r="S20" s="72">
        <v>-7750</v>
      </c>
      <c r="T20" s="72">
        <f t="shared" si="1"/>
        <v>-94200</v>
      </c>
    </row>
    <row r="21" spans="1:20">
      <c r="B21" s="65" t="s">
        <v>12</v>
      </c>
      <c r="C21" s="65" t="s">
        <v>129</v>
      </c>
      <c r="D21" s="65"/>
      <c r="E21" s="102"/>
      <c r="F21" s="65"/>
      <c r="H21" s="59">
        <v>0</v>
      </c>
      <c r="I21" s="59">
        <v>-433.78999999999996</v>
      </c>
      <c r="J21" s="59">
        <v>-432.11000000000058</v>
      </c>
      <c r="K21" s="59">
        <v>0</v>
      </c>
      <c r="L21" s="59">
        <v>0</v>
      </c>
      <c r="M21" s="59">
        <v>-54150.71</v>
      </c>
      <c r="N21" s="59">
        <v>0</v>
      </c>
      <c r="O21" s="59">
        <v>0</v>
      </c>
      <c r="P21" s="59">
        <v>0</v>
      </c>
      <c r="Q21" s="59">
        <v>0</v>
      </c>
      <c r="R21" s="59">
        <v>0</v>
      </c>
      <c r="S21" s="59">
        <v>-183.24000000000524</v>
      </c>
      <c r="T21" s="59">
        <f t="shared" si="1"/>
        <v>-55199.850000000006</v>
      </c>
    </row>
    <row r="22" spans="1:20">
      <c r="A22" s="74"/>
      <c r="B22" s="69" t="s">
        <v>12</v>
      </c>
      <c r="C22" s="69" t="s">
        <v>129</v>
      </c>
      <c r="D22" s="69" t="s">
        <v>215</v>
      </c>
      <c r="E22" s="104"/>
      <c r="F22" s="69"/>
      <c r="G22" s="71"/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-31964.9</v>
      </c>
      <c r="T22" s="72">
        <f t="shared" si="1"/>
        <v>-31964.9</v>
      </c>
    </row>
    <row r="23" spans="1:20">
      <c r="B23" s="65" t="s">
        <v>14</v>
      </c>
      <c r="C23" s="65" t="s">
        <v>129</v>
      </c>
      <c r="D23" s="65" t="s">
        <v>216</v>
      </c>
      <c r="E23" s="102"/>
      <c r="F23" s="66"/>
      <c r="H23" s="59">
        <v>0</v>
      </c>
      <c r="I23" s="59">
        <v>0</v>
      </c>
      <c r="J23" s="59">
        <v>-1534.07</v>
      </c>
      <c r="K23" s="59">
        <v>0</v>
      </c>
      <c r="L23" s="59">
        <v>0</v>
      </c>
      <c r="M23" s="59">
        <v>0</v>
      </c>
      <c r="N23" s="59">
        <v>0</v>
      </c>
      <c r="O23" s="59">
        <v>0</v>
      </c>
      <c r="P23" s="59">
        <v>0</v>
      </c>
      <c r="Q23" s="59">
        <v>0</v>
      </c>
      <c r="R23" s="59">
        <v>0</v>
      </c>
      <c r="S23" s="59">
        <v>0</v>
      </c>
      <c r="T23" s="59">
        <f t="shared" si="1"/>
        <v>-1534.07</v>
      </c>
    </row>
    <row r="24" spans="1:20" s="113" customFormat="1">
      <c r="A24" s="50"/>
      <c r="B24" s="65" t="s">
        <v>14</v>
      </c>
      <c r="C24" s="65" t="s">
        <v>129</v>
      </c>
      <c r="D24" s="65"/>
      <c r="E24" s="102"/>
      <c r="F24" s="65"/>
      <c r="G24" s="50"/>
      <c r="H24" s="58">
        <v>0</v>
      </c>
      <c r="I24" s="58">
        <v>-309.63</v>
      </c>
      <c r="J24" s="58">
        <v>0</v>
      </c>
      <c r="K24" s="58">
        <v>0</v>
      </c>
      <c r="L24" s="58">
        <v>0</v>
      </c>
      <c r="M24" s="58">
        <v>-737.63999999999942</v>
      </c>
      <c r="N24" s="58">
        <v>0</v>
      </c>
      <c r="O24" s="58">
        <v>0</v>
      </c>
      <c r="P24" s="58">
        <v>0</v>
      </c>
      <c r="Q24" s="58">
        <v>0</v>
      </c>
      <c r="R24" s="58">
        <v>0</v>
      </c>
      <c r="S24" s="58">
        <v>0</v>
      </c>
      <c r="T24" s="58">
        <f t="shared" si="1"/>
        <v>-1047.2699999999995</v>
      </c>
    </row>
    <row r="25" spans="1:20">
      <c r="A25" s="74"/>
      <c r="B25" s="69" t="s">
        <v>14</v>
      </c>
      <c r="C25" s="69" t="s">
        <v>217</v>
      </c>
      <c r="D25" s="69" t="s">
        <v>218</v>
      </c>
      <c r="E25" s="104"/>
      <c r="F25" s="69"/>
      <c r="G25" s="75"/>
      <c r="H25" s="73">
        <v>0</v>
      </c>
      <c r="I25" s="73">
        <v>0</v>
      </c>
      <c r="J25" s="73">
        <v>0</v>
      </c>
      <c r="K25" s="73">
        <v>-5000</v>
      </c>
      <c r="L25" s="73">
        <v>-5000</v>
      </c>
      <c r="M25" s="73">
        <v>0</v>
      </c>
      <c r="N25" s="73">
        <v>0</v>
      </c>
      <c r="O25" s="73">
        <v>0</v>
      </c>
      <c r="P25" s="73">
        <v>0</v>
      </c>
      <c r="Q25" s="73">
        <v>0</v>
      </c>
      <c r="R25" s="73">
        <v>0</v>
      </c>
      <c r="S25" s="73">
        <v>0</v>
      </c>
      <c r="T25" s="73">
        <f t="shared" si="1"/>
        <v>-10000</v>
      </c>
    </row>
    <row r="26" spans="1:20">
      <c r="B26" s="65" t="s">
        <v>17</v>
      </c>
      <c r="C26" s="65" t="s">
        <v>129</v>
      </c>
      <c r="D26" s="65" t="s">
        <v>219</v>
      </c>
      <c r="E26" s="102"/>
      <c r="F26" s="65"/>
      <c r="H26" s="59">
        <v>-2000</v>
      </c>
      <c r="I26" s="59">
        <v>0</v>
      </c>
      <c r="J26" s="59">
        <v>0</v>
      </c>
      <c r="K26" s="59">
        <v>0</v>
      </c>
      <c r="L26" s="59">
        <v>0</v>
      </c>
      <c r="M26" s="59">
        <v>0</v>
      </c>
      <c r="N26" s="59">
        <v>0</v>
      </c>
      <c r="O26" s="59">
        <v>0</v>
      </c>
      <c r="P26" s="59">
        <v>0</v>
      </c>
      <c r="Q26" s="59">
        <v>0</v>
      </c>
      <c r="R26" s="59">
        <v>0</v>
      </c>
      <c r="S26" s="59">
        <v>0</v>
      </c>
      <c r="T26" s="59">
        <f t="shared" si="1"/>
        <v>-2000</v>
      </c>
    </row>
    <row r="27" spans="1:20">
      <c r="B27" s="65" t="s">
        <v>17</v>
      </c>
      <c r="C27" s="65" t="s">
        <v>129</v>
      </c>
      <c r="D27" s="65" t="s">
        <v>206</v>
      </c>
      <c r="E27" s="102"/>
      <c r="F27" s="65"/>
      <c r="H27" s="59">
        <v>0</v>
      </c>
      <c r="I27" s="59">
        <v>0</v>
      </c>
      <c r="J27" s="59">
        <v>0</v>
      </c>
      <c r="K27" s="59">
        <v>0</v>
      </c>
      <c r="L27" s="59">
        <v>0</v>
      </c>
      <c r="M27" s="59">
        <v>-720.21</v>
      </c>
      <c r="N27" s="59">
        <v>-1420.33</v>
      </c>
      <c r="O27" s="59">
        <v>0</v>
      </c>
      <c r="P27" s="59">
        <v>0</v>
      </c>
      <c r="Q27" s="59">
        <v>0</v>
      </c>
      <c r="R27" s="59">
        <v>-12939.390000000001</v>
      </c>
      <c r="S27" s="59">
        <v>-1092.0200000000004</v>
      </c>
      <c r="T27" s="59">
        <f t="shared" si="1"/>
        <v>-16171.95</v>
      </c>
    </row>
    <row r="28" spans="1:20">
      <c r="B28" s="65" t="s">
        <v>17</v>
      </c>
      <c r="C28" s="66" t="s">
        <v>205</v>
      </c>
      <c r="D28" s="65"/>
      <c r="E28" s="102"/>
      <c r="F28" s="65"/>
      <c r="H28" s="59">
        <v>0</v>
      </c>
      <c r="I28" s="59">
        <v>0</v>
      </c>
      <c r="J28" s="59">
        <v>0</v>
      </c>
      <c r="K28" s="59">
        <v>0</v>
      </c>
      <c r="L28" s="59">
        <v>0</v>
      </c>
      <c r="M28" s="59">
        <v>0</v>
      </c>
      <c r="N28" s="59">
        <v>0</v>
      </c>
      <c r="O28" s="59">
        <v>0</v>
      </c>
      <c r="P28" s="59">
        <v>0</v>
      </c>
      <c r="Q28" s="59">
        <v>0</v>
      </c>
      <c r="R28" s="59">
        <v>-178.98</v>
      </c>
      <c r="S28" s="59">
        <v>0</v>
      </c>
      <c r="T28" s="59">
        <f t="shared" si="1"/>
        <v>-178.98</v>
      </c>
    </row>
    <row r="29" spans="1:20">
      <c r="B29" s="65" t="s">
        <v>17</v>
      </c>
      <c r="C29" s="65" t="s">
        <v>16</v>
      </c>
      <c r="D29" s="65" t="s">
        <v>205</v>
      </c>
      <c r="E29" s="102"/>
      <c r="F29" s="65"/>
      <c r="H29" s="59">
        <v>0</v>
      </c>
      <c r="I29" s="59">
        <v>0</v>
      </c>
      <c r="J29" s="59">
        <v>0</v>
      </c>
      <c r="K29" s="59">
        <v>0</v>
      </c>
      <c r="L29" s="59">
        <v>0</v>
      </c>
      <c r="M29" s="59">
        <v>0</v>
      </c>
      <c r="N29" s="59">
        <v>0</v>
      </c>
      <c r="O29" s="59">
        <v>0</v>
      </c>
      <c r="P29" s="59">
        <v>0</v>
      </c>
      <c r="Q29" s="59">
        <v>0</v>
      </c>
      <c r="R29" s="59">
        <v>0</v>
      </c>
      <c r="S29" s="59">
        <v>-4500.59</v>
      </c>
      <c r="T29" s="59">
        <f t="shared" si="1"/>
        <v>-4500.59</v>
      </c>
    </row>
    <row r="30" spans="1:20">
      <c r="A30" s="74"/>
      <c r="B30" s="69" t="s">
        <v>18</v>
      </c>
      <c r="C30" s="69" t="s">
        <v>19</v>
      </c>
      <c r="D30" s="69"/>
      <c r="E30" s="104"/>
      <c r="F30" s="69"/>
      <c r="G30" s="75"/>
      <c r="H30" s="72">
        <v>-1520</v>
      </c>
      <c r="I30" s="72">
        <v>-1482</v>
      </c>
      <c r="J30" s="72">
        <v>-1482</v>
      </c>
      <c r="K30" s="72">
        <v>-1501</v>
      </c>
      <c r="L30" s="72">
        <v>-1501</v>
      </c>
      <c r="M30" s="72">
        <v>-1425</v>
      </c>
      <c r="N30" s="72">
        <v>-1653</v>
      </c>
      <c r="O30" s="72">
        <v>-1653</v>
      </c>
      <c r="P30" s="72">
        <v>-1653</v>
      </c>
      <c r="Q30" s="72">
        <v>-8731</v>
      </c>
      <c r="R30" s="72">
        <v>-2204</v>
      </c>
      <c r="S30" s="72">
        <v>-2223</v>
      </c>
      <c r="T30" s="72">
        <f t="shared" si="1"/>
        <v>-27028</v>
      </c>
    </row>
    <row r="31" spans="1:20">
      <c r="B31" s="66" t="s">
        <v>20</v>
      </c>
      <c r="C31" s="65" t="s">
        <v>117</v>
      </c>
      <c r="D31" s="66" t="s">
        <v>5</v>
      </c>
      <c r="E31" s="103" t="s">
        <v>209</v>
      </c>
      <c r="F31" s="65"/>
      <c r="H31" s="59">
        <v>-45000</v>
      </c>
      <c r="I31" s="59">
        <v>-65000</v>
      </c>
      <c r="J31" s="59">
        <v>-70000</v>
      </c>
      <c r="K31" s="59">
        <v>-120000</v>
      </c>
      <c r="L31" s="59">
        <v>-200000</v>
      </c>
      <c r="M31" s="59">
        <v>-206000</v>
      </c>
      <c r="N31" s="59">
        <v>44407.77</v>
      </c>
      <c r="O31" s="59">
        <v>0</v>
      </c>
      <c r="P31" s="59">
        <v>0</v>
      </c>
      <c r="Q31" s="59">
        <v>0</v>
      </c>
      <c r="R31" s="59">
        <v>0</v>
      </c>
      <c r="S31" s="59">
        <v>0</v>
      </c>
      <c r="T31" s="59">
        <f t="shared" si="1"/>
        <v>-661592.23</v>
      </c>
    </row>
    <row r="32" spans="1:20">
      <c r="B32" s="66" t="s">
        <v>20</v>
      </c>
      <c r="C32" s="65" t="s">
        <v>269</v>
      </c>
      <c r="D32" s="65" t="s">
        <v>5</v>
      </c>
      <c r="E32" s="102" t="s">
        <v>209</v>
      </c>
      <c r="F32" s="65"/>
      <c r="H32" s="59">
        <v>0</v>
      </c>
      <c r="I32" s="59">
        <v>0</v>
      </c>
      <c r="J32" s="59">
        <v>0</v>
      </c>
      <c r="K32" s="59">
        <v>0</v>
      </c>
      <c r="L32" s="59">
        <v>0</v>
      </c>
      <c r="M32" s="59">
        <v>0</v>
      </c>
      <c r="N32" s="59">
        <v>-200000</v>
      </c>
      <c r="O32" s="59">
        <v>-200000</v>
      </c>
      <c r="P32" s="59">
        <v>-200000</v>
      </c>
      <c r="Q32" s="59">
        <v>-160000</v>
      </c>
      <c r="R32" s="59">
        <v>-160000</v>
      </c>
      <c r="S32" s="59">
        <v>-160330</v>
      </c>
      <c r="T32" s="59">
        <f t="shared" si="1"/>
        <v>-1080330</v>
      </c>
    </row>
    <row r="33" spans="1:20">
      <c r="B33" s="65" t="s">
        <v>20</v>
      </c>
      <c r="C33" s="65" t="s">
        <v>31</v>
      </c>
      <c r="D33" s="65" t="s">
        <v>252</v>
      </c>
      <c r="E33" s="102" t="s">
        <v>209</v>
      </c>
      <c r="F33" s="65"/>
      <c r="H33" s="59">
        <v>0</v>
      </c>
      <c r="I33" s="59">
        <v>0</v>
      </c>
      <c r="J33" s="59">
        <v>0</v>
      </c>
      <c r="K33" s="59">
        <v>0</v>
      </c>
      <c r="L33" s="59">
        <v>-1000</v>
      </c>
      <c r="M33" s="59">
        <v>-500</v>
      </c>
      <c r="N33" s="59">
        <v>-500</v>
      </c>
      <c r="O33" s="59">
        <v>-1000</v>
      </c>
      <c r="P33" s="59">
        <v>-500</v>
      </c>
      <c r="Q33" s="59">
        <v>-500</v>
      </c>
      <c r="R33" s="59">
        <v>-500</v>
      </c>
      <c r="S33" s="59">
        <v>-500</v>
      </c>
      <c r="T33" s="59">
        <f t="shared" si="1"/>
        <v>-5000</v>
      </c>
    </row>
    <row r="34" spans="1:20">
      <c r="B34" s="65" t="s">
        <v>20</v>
      </c>
      <c r="C34" s="65" t="s">
        <v>117</v>
      </c>
      <c r="D34" s="65" t="s">
        <v>253</v>
      </c>
      <c r="E34" s="102" t="s">
        <v>209</v>
      </c>
      <c r="F34" s="65"/>
      <c r="H34" s="59">
        <v>0</v>
      </c>
      <c r="I34" s="59">
        <v>0</v>
      </c>
      <c r="J34" s="59">
        <v>0</v>
      </c>
      <c r="K34" s="59">
        <v>-28499.599999999999</v>
      </c>
      <c r="L34" s="59">
        <v>0</v>
      </c>
      <c r="M34" s="59">
        <v>-3921.57</v>
      </c>
      <c r="N34" s="59">
        <v>-3921.57</v>
      </c>
      <c r="O34" s="59">
        <v>-3921.57</v>
      </c>
      <c r="P34" s="59">
        <v>0</v>
      </c>
      <c r="Q34" s="59">
        <v>0</v>
      </c>
      <c r="R34" s="59">
        <v>0</v>
      </c>
      <c r="S34" s="59">
        <v>0</v>
      </c>
      <c r="T34" s="59">
        <f t="shared" si="1"/>
        <v>-40264.31</v>
      </c>
    </row>
    <row r="35" spans="1:20">
      <c r="A35" s="74"/>
      <c r="B35" s="76" t="s">
        <v>20</v>
      </c>
      <c r="C35" s="69" t="s">
        <v>269</v>
      </c>
      <c r="D35" s="76" t="s">
        <v>253</v>
      </c>
      <c r="E35" s="105" t="s">
        <v>209</v>
      </c>
      <c r="F35" s="76"/>
      <c r="G35" s="75"/>
      <c r="H35" s="72">
        <v>0</v>
      </c>
      <c r="I35" s="72">
        <v>0</v>
      </c>
      <c r="J35" s="72">
        <v>0</v>
      </c>
      <c r="K35" s="72">
        <v>0</v>
      </c>
      <c r="L35" s="72">
        <v>0</v>
      </c>
      <c r="M35" s="72">
        <v>0</v>
      </c>
      <c r="N35" s="72">
        <v>0</v>
      </c>
      <c r="O35" s="72">
        <v>0</v>
      </c>
      <c r="P35" s="72">
        <v>0</v>
      </c>
      <c r="Q35" s="72">
        <v>0</v>
      </c>
      <c r="R35" s="72">
        <v>0</v>
      </c>
      <c r="S35" s="72">
        <v>-3299</v>
      </c>
      <c r="T35" s="72">
        <f t="shared" si="1"/>
        <v>-3299</v>
      </c>
    </row>
    <row r="36" spans="1:20">
      <c r="A36" s="74"/>
      <c r="B36" s="76" t="s">
        <v>20</v>
      </c>
      <c r="C36" s="76" t="s">
        <v>63</v>
      </c>
      <c r="D36" s="76" t="s">
        <v>253</v>
      </c>
      <c r="E36" s="105" t="s">
        <v>209</v>
      </c>
      <c r="F36" s="76"/>
      <c r="G36" s="75"/>
      <c r="H36" s="72">
        <v>0</v>
      </c>
      <c r="I36" s="72">
        <v>0</v>
      </c>
      <c r="J36" s="72">
        <v>0</v>
      </c>
      <c r="K36" s="72">
        <v>0</v>
      </c>
      <c r="L36" s="72">
        <v>-1948.33</v>
      </c>
      <c r="M36" s="72">
        <v>0</v>
      </c>
      <c r="N36" s="72">
        <v>0</v>
      </c>
      <c r="O36" s="72">
        <v>0</v>
      </c>
      <c r="P36" s="72">
        <v>0</v>
      </c>
      <c r="Q36" s="72">
        <v>0</v>
      </c>
      <c r="R36" s="72">
        <v>0</v>
      </c>
      <c r="S36" s="72">
        <v>0</v>
      </c>
      <c r="T36" s="72">
        <f t="shared" si="1"/>
        <v>-1948.33</v>
      </c>
    </row>
    <row r="37" spans="1:20">
      <c r="A37" s="74"/>
      <c r="B37" s="69" t="s">
        <v>23</v>
      </c>
      <c r="C37" s="69" t="s">
        <v>24</v>
      </c>
      <c r="D37" s="69" t="s">
        <v>220</v>
      </c>
      <c r="E37" s="104"/>
      <c r="F37" s="69"/>
      <c r="G37" s="75"/>
      <c r="H37" s="72">
        <v>0</v>
      </c>
      <c r="I37" s="72">
        <v>-150</v>
      </c>
      <c r="J37" s="72">
        <v>0</v>
      </c>
      <c r="K37" s="72">
        <v>0</v>
      </c>
      <c r="L37" s="72">
        <v>0</v>
      </c>
      <c r="M37" s="72">
        <v>0</v>
      </c>
      <c r="N37" s="72">
        <v>-40</v>
      </c>
      <c r="O37" s="72">
        <v>0</v>
      </c>
      <c r="P37" s="72">
        <v>0</v>
      </c>
      <c r="Q37" s="72">
        <v>0</v>
      </c>
      <c r="R37" s="72">
        <v>0</v>
      </c>
      <c r="S37" s="72">
        <v>0</v>
      </c>
      <c r="T37" s="72">
        <f t="shared" si="1"/>
        <v>-190</v>
      </c>
    </row>
    <row r="38" spans="1:20">
      <c r="B38" s="65" t="s">
        <v>36</v>
      </c>
      <c r="C38" s="65" t="s">
        <v>254</v>
      </c>
      <c r="D38" s="65" t="s">
        <v>221</v>
      </c>
      <c r="E38" s="102"/>
      <c r="F38" s="65"/>
      <c r="H38" s="59">
        <v>0</v>
      </c>
      <c r="I38" s="59">
        <v>0</v>
      </c>
      <c r="J38" s="59">
        <v>0</v>
      </c>
      <c r="K38" s="59">
        <v>0</v>
      </c>
      <c r="L38" s="59">
        <v>-2187.44</v>
      </c>
      <c r="M38" s="59">
        <v>0</v>
      </c>
      <c r="N38" s="59">
        <v>0</v>
      </c>
      <c r="O38" s="59">
        <v>0</v>
      </c>
      <c r="P38" s="59">
        <v>0</v>
      </c>
      <c r="Q38" s="59">
        <v>0</v>
      </c>
      <c r="R38" s="59">
        <v>0</v>
      </c>
      <c r="S38" s="59">
        <v>0</v>
      </c>
      <c r="T38" s="59">
        <f t="shared" si="1"/>
        <v>-2187.44</v>
      </c>
    </row>
    <row r="39" spans="1:20" ht="14.55" customHeight="1">
      <c r="B39" s="65" t="s">
        <v>36</v>
      </c>
      <c r="C39" s="65" t="s">
        <v>37</v>
      </c>
      <c r="D39" s="65" t="s">
        <v>2</v>
      </c>
      <c r="E39" s="102"/>
      <c r="F39" s="65"/>
      <c r="G39" s="67"/>
      <c r="H39" s="59">
        <v>-11378.43</v>
      </c>
      <c r="I39" s="59">
        <v>-11304.43</v>
      </c>
      <c r="J39" s="59">
        <v>-11476</v>
      </c>
      <c r="K39" s="59">
        <v>-11828</v>
      </c>
      <c r="L39" s="59">
        <v>-11628</v>
      </c>
      <c r="M39" s="59">
        <v>-11780</v>
      </c>
      <c r="N39" s="59">
        <v>-12232</v>
      </c>
      <c r="O39" s="59">
        <v>-11780</v>
      </c>
      <c r="P39" s="59">
        <v>-11552</v>
      </c>
      <c r="Q39" s="59">
        <v>-11728</v>
      </c>
      <c r="R39" s="59">
        <v>-11752</v>
      </c>
      <c r="S39" s="59">
        <v>-11552</v>
      </c>
      <c r="T39" s="59">
        <f t="shared" si="1"/>
        <v>-139990.85999999999</v>
      </c>
    </row>
    <row r="40" spans="1:20" ht="14.55" customHeight="1">
      <c r="B40" s="65" t="s">
        <v>36</v>
      </c>
      <c r="C40" s="65" t="s">
        <v>29</v>
      </c>
      <c r="D40" s="65" t="s">
        <v>223</v>
      </c>
      <c r="E40" s="102"/>
      <c r="F40" s="65"/>
      <c r="G40" s="67"/>
      <c r="H40" s="59">
        <v>-343.52</v>
      </c>
      <c r="I40" s="59">
        <v>-1341.33</v>
      </c>
      <c r="J40" s="59">
        <v>-3120.36</v>
      </c>
      <c r="K40" s="59">
        <v>-841.44</v>
      </c>
      <c r="L40" s="59">
        <v>-317.36</v>
      </c>
      <c r="M40" s="59">
        <v>-1448.49</v>
      </c>
      <c r="N40" s="59">
        <v>-1376.74</v>
      </c>
      <c r="O40" s="59">
        <v>-7886.16</v>
      </c>
      <c r="P40" s="59">
        <v>-821.18</v>
      </c>
      <c r="Q40" s="59">
        <v>-3085.49</v>
      </c>
      <c r="R40" s="59">
        <v>-968.69</v>
      </c>
      <c r="S40" s="59">
        <v>-1411.51</v>
      </c>
      <c r="T40" s="59">
        <f t="shared" si="1"/>
        <v>-22962.269999999997</v>
      </c>
    </row>
    <row r="41" spans="1:20" ht="14.55" customHeight="1">
      <c r="B41" s="65" t="s">
        <v>36</v>
      </c>
      <c r="C41" s="65" t="s">
        <v>129</v>
      </c>
      <c r="D41" s="66" t="s">
        <v>205</v>
      </c>
      <c r="E41" s="103"/>
      <c r="F41" s="65"/>
      <c r="G41" s="67"/>
      <c r="H41" s="59">
        <v>0</v>
      </c>
      <c r="I41" s="59">
        <v>0</v>
      </c>
      <c r="J41" s="59">
        <v>-3304.74</v>
      </c>
      <c r="K41" s="59">
        <v>0</v>
      </c>
      <c r="L41" s="59">
        <v>0</v>
      </c>
      <c r="M41" s="59">
        <v>0</v>
      </c>
      <c r="N41" s="59">
        <v>0</v>
      </c>
      <c r="O41" s="59">
        <v>0</v>
      </c>
      <c r="P41" s="59">
        <v>0</v>
      </c>
      <c r="Q41" s="59">
        <v>0</v>
      </c>
      <c r="R41" s="59">
        <v>0</v>
      </c>
      <c r="S41" s="59">
        <v>0</v>
      </c>
      <c r="T41" s="59">
        <f t="shared" ref="T41:T72" si="2">SUM(H41:S41)</f>
        <v>-3304.74</v>
      </c>
    </row>
    <row r="42" spans="1:20" ht="14.55" customHeight="1">
      <c r="B42" s="65" t="s">
        <v>36</v>
      </c>
      <c r="C42" s="65" t="s">
        <v>272</v>
      </c>
      <c r="D42" s="66"/>
      <c r="E42" s="103"/>
      <c r="F42" s="65"/>
      <c r="G42" s="67"/>
      <c r="H42" s="59">
        <v>0</v>
      </c>
      <c r="I42" s="59">
        <v>0</v>
      </c>
      <c r="J42" s="59">
        <v>0</v>
      </c>
      <c r="K42" s="59">
        <v>0</v>
      </c>
      <c r="L42" s="59">
        <v>0</v>
      </c>
      <c r="M42" s="59">
        <v>-6500</v>
      </c>
      <c r="N42" s="59">
        <v>0</v>
      </c>
      <c r="O42" s="59">
        <v>0</v>
      </c>
      <c r="P42" s="59">
        <v>-16500</v>
      </c>
      <c r="Q42" s="59">
        <v>0</v>
      </c>
      <c r="R42" s="59">
        <v>0</v>
      </c>
      <c r="S42" s="59">
        <v>0</v>
      </c>
      <c r="T42" s="59">
        <f t="shared" si="2"/>
        <v>-23000</v>
      </c>
    </row>
    <row r="43" spans="1:20" ht="14.55" customHeight="1">
      <c r="B43" s="65" t="s">
        <v>36</v>
      </c>
      <c r="C43" s="65" t="s">
        <v>42</v>
      </c>
      <c r="D43" s="66"/>
      <c r="E43" s="103"/>
      <c r="F43" s="65"/>
      <c r="G43" s="67"/>
      <c r="H43" s="59">
        <v>0</v>
      </c>
      <c r="I43" s="59">
        <v>0</v>
      </c>
      <c r="J43" s="59">
        <v>0</v>
      </c>
      <c r="K43" s="59">
        <v>0</v>
      </c>
      <c r="L43" s="59">
        <v>0</v>
      </c>
      <c r="M43" s="59">
        <v>-9394.7000000000007</v>
      </c>
      <c r="N43" s="59">
        <v>9394.7000000000007</v>
      </c>
      <c r="O43" s="59">
        <v>0</v>
      </c>
      <c r="P43" s="59">
        <v>0</v>
      </c>
      <c r="Q43" s="59">
        <v>0</v>
      </c>
      <c r="R43" s="59">
        <v>0</v>
      </c>
      <c r="S43" s="59">
        <v>0</v>
      </c>
      <c r="T43" s="59">
        <f t="shared" si="2"/>
        <v>0</v>
      </c>
    </row>
    <row r="44" spans="1:20" ht="15.05" customHeight="1">
      <c r="B44" s="65" t="s">
        <v>36</v>
      </c>
      <c r="C44" s="65" t="s">
        <v>273</v>
      </c>
      <c r="D44" s="66"/>
      <c r="E44" s="103"/>
      <c r="F44" s="65"/>
      <c r="G44" s="67"/>
      <c r="H44" s="59">
        <v>0</v>
      </c>
      <c r="I44" s="59">
        <v>0</v>
      </c>
      <c r="J44" s="59">
        <v>0</v>
      </c>
      <c r="K44" s="59">
        <v>0</v>
      </c>
      <c r="L44" s="59">
        <v>0</v>
      </c>
      <c r="M44" s="59">
        <v>0</v>
      </c>
      <c r="N44" s="59">
        <v>-583.20000000000005</v>
      </c>
      <c r="O44" s="59">
        <v>0</v>
      </c>
      <c r="P44" s="59">
        <v>0</v>
      </c>
      <c r="Q44" s="59">
        <v>0</v>
      </c>
      <c r="R44" s="59">
        <v>0</v>
      </c>
      <c r="S44" s="59">
        <v>0</v>
      </c>
      <c r="T44" s="59">
        <f t="shared" si="2"/>
        <v>-583.20000000000005</v>
      </c>
    </row>
    <row r="45" spans="1:20" ht="14.55" customHeight="1">
      <c r="A45" s="74"/>
      <c r="B45" s="69" t="s">
        <v>36</v>
      </c>
      <c r="C45" s="69" t="s">
        <v>43</v>
      </c>
      <c r="D45" s="69"/>
      <c r="E45" s="104"/>
      <c r="F45" s="69"/>
      <c r="G45" s="71"/>
      <c r="H45" s="72">
        <v>-6000</v>
      </c>
      <c r="I45" s="72">
        <v>0</v>
      </c>
      <c r="J45" s="72">
        <v>0</v>
      </c>
      <c r="K45" s="72">
        <v>-18558</v>
      </c>
      <c r="L45" s="72">
        <v>0</v>
      </c>
      <c r="M45" s="72">
        <v>-3000</v>
      </c>
      <c r="N45" s="72">
        <v>0</v>
      </c>
      <c r="O45" s="72">
        <v>0</v>
      </c>
      <c r="P45" s="72">
        <v>-4000</v>
      </c>
      <c r="Q45" s="72">
        <v>-28841.379999999997</v>
      </c>
      <c r="R45" s="72">
        <v>0</v>
      </c>
      <c r="S45" s="72">
        <v>0</v>
      </c>
      <c r="T45" s="72">
        <f t="shared" si="2"/>
        <v>-60399.38</v>
      </c>
    </row>
    <row r="46" spans="1:20">
      <c r="A46" s="74"/>
      <c r="B46" s="69" t="s">
        <v>25</v>
      </c>
      <c r="C46" s="69" t="s">
        <v>44</v>
      </c>
      <c r="D46" s="69"/>
      <c r="E46" s="104"/>
      <c r="F46" s="69"/>
      <c r="G46" s="75"/>
      <c r="H46" s="72">
        <v>-30871.3</v>
      </c>
      <c r="I46" s="72">
        <v>-29341.95</v>
      </c>
      <c r="J46" s="72">
        <v>-27412.07</v>
      </c>
      <c r="K46" s="72">
        <v>-29370.55</v>
      </c>
      <c r="L46" s="72">
        <v>-31418.58</v>
      </c>
      <c r="M46" s="72">
        <v>-30169.51</v>
      </c>
      <c r="N46" s="72">
        <v>-31341.61</v>
      </c>
      <c r="O46" s="72">
        <v>-30169.52</v>
      </c>
      <c r="P46" s="72">
        <v>-40994.6</v>
      </c>
      <c r="Q46" s="72">
        <v>-46578.62</v>
      </c>
      <c r="R46" s="72">
        <v>-39753.550000000003</v>
      </c>
      <c r="S46" s="72">
        <v>-44456.88</v>
      </c>
      <c r="T46" s="72">
        <f t="shared" si="2"/>
        <v>-411878.74</v>
      </c>
    </row>
    <row r="47" spans="1:20">
      <c r="B47" s="65" t="s">
        <v>26</v>
      </c>
      <c r="C47" s="65" t="s">
        <v>58</v>
      </c>
      <c r="D47" s="65" t="s">
        <v>224</v>
      </c>
      <c r="E47" s="102"/>
      <c r="F47" s="65"/>
      <c r="G47" s="67"/>
      <c r="H47" s="59">
        <v>-4300</v>
      </c>
      <c r="I47" s="59">
        <v>4300</v>
      </c>
      <c r="J47" s="59">
        <v>0</v>
      </c>
      <c r="K47" s="59">
        <v>0</v>
      </c>
      <c r="L47" s="59">
        <v>0</v>
      </c>
      <c r="M47" s="59">
        <v>0</v>
      </c>
      <c r="N47" s="59">
        <v>0</v>
      </c>
      <c r="O47" s="59">
        <v>0</v>
      </c>
      <c r="P47" s="59">
        <v>0</v>
      </c>
      <c r="Q47" s="59">
        <v>0</v>
      </c>
      <c r="R47" s="59">
        <v>0</v>
      </c>
      <c r="S47" s="59">
        <v>0</v>
      </c>
      <c r="T47" s="59">
        <f t="shared" si="2"/>
        <v>0</v>
      </c>
    </row>
    <row r="48" spans="1:20">
      <c r="B48" s="65" t="s">
        <v>26</v>
      </c>
      <c r="C48" s="65" t="s">
        <v>58</v>
      </c>
      <c r="D48" s="65" t="s">
        <v>225</v>
      </c>
      <c r="E48" s="102"/>
      <c r="F48" s="65"/>
      <c r="G48" s="67"/>
      <c r="H48" s="59">
        <v>0</v>
      </c>
      <c r="I48" s="59">
        <v>-4286.7</v>
      </c>
      <c r="J48" s="59">
        <v>0</v>
      </c>
      <c r="K48" s="59">
        <v>0</v>
      </c>
      <c r="L48" s="59">
        <v>0</v>
      </c>
      <c r="M48" s="59">
        <v>0</v>
      </c>
      <c r="N48" s="59">
        <v>0</v>
      </c>
      <c r="O48" s="59">
        <v>0</v>
      </c>
      <c r="P48" s="59">
        <v>0</v>
      </c>
      <c r="Q48" s="59">
        <v>0</v>
      </c>
      <c r="R48" s="59">
        <v>0</v>
      </c>
      <c r="S48" s="59">
        <v>0</v>
      </c>
      <c r="T48" s="59">
        <f t="shared" si="2"/>
        <v>-4286.7</v>
      </c>
    </row>
    <row r="49" spans="1:20">
      <c r="B49" s="65" t="s">
        <v>26</v>
      </c>
      <c r="C49" s="65" t="s">
        <v>58</v>
      </c>
      <c r="D49" s="65" t="s">
        <v>226</v>
      </c>
      <c r="E49" s="102"/>
      <c r="F49" s="65"/>
      <c r="G49" s="67"/>
      <c r="H49" s="59">
        <v>0</v>
      </c>
      <c r="I49" s="59">
        <v>0</v>
      </c>
      <c r="J49" s="59">
        <v>0</v>
      </c>
      <c r="K49" s="59">
        <v>0</v>
      </c>
      <c r="L49" s="59">
        <v>0</v>
      </c>
      <c r="M49" s="59">
        <v>-4300</v>
      </c>
      <c r="N49" s="59">
        <v>-1.6999999999998181</v>
      </c>
      <c r="O49" s="59">
        <v>0</v>
      </c>
      <c r="P49" s="59">
        <v>0</v>
      </c>
      <c r="Q49" s="59">
        <v>0</v>
      </c>
      <c r="R49" s="59">
        <v>0</v>
      </c>
      <c r="S49" s="59">
        <v>0</v>
      </c>
      <c r="T49" s="59">
        <f t="shared" si="2"/>
        <v>-4301.7</v>
      </c>
    </row>
    <row r="50" spans="1:20">
      <c r="B50" s="65" t="s">
        <v>26</v>
      </c>
      <c r="C50" s="65" t="s">
        <v>58</v>
      </c>
      <c r="D50" s="65" t="s">
        <v>227</v>
      </c>
      <c r="E50" s="102"/>
      <c r="F50" s="65"/>
      <c r="G50" s="67"/>
      <c r="H50" s="59">
        <v>0</v>
      </c>
      <c r="I50" s="59">
        <v>0</v>
      </c>
      <c r="J50" s="59">
        <v>0</v>
      </c>
      <c r="K50" s="59">
        <v>0</v>
      </c>
      <c r="L50" s="59">
        <v>0</v>
      </c>
      <c r="M50" s="59">
        <v>0</v>
      </c>
      <c r="N50" s="59">
        <v>0</v>
      </c>
      <c r="O50" s="59">
        <v>0</v>
      </c>
      <c r="P50" s="59">
        <v>-4300</v>
      </c>
      <c r="Q50" s="59">
        <v>4300</v>
      </c>
      <c r="R50" s="59">
        <v>0</v>
      </c>
      <c r="S50" s="59">
        <v>0</v>
      </c>
      <c r="T50" s="59">
        <f t="shared" si="2"/>
        <v>0</v>
      </c>
    </row>
    <row r="51" spans="1:20">
      <c r="B51" s="65" t="s">
        <v>26</v>
      </c>
      <c r="C51" s="65" t="s">
        <v>58</v>
      </c>
      <c r="D51" s="65" t="s">
        <v>228</v>
      </c>
      <c r="E51" s="102"/>
      <c r="F51" s="65"/>
      <c r="G51" s="67"/>
      <c r="H51" s="59">
        <v>0</v>
      </c>
      <c r="I51" s="59">
        <v>0</v>
      </c>
      <c r="J51" s="59">
        <v>0</v>
      </c>
      <c r="K51" s="59">
        <v>0</v>
      </c>
      <c r="L51" s="59">
        <v>0</v>
      </c>
      <c r="M51" s="59">
        <v>0</v>
      </c>
      <c r="N51" s="59">
        <v>0</v>
      </c>
      <c r="O51" s="59">
        <v>0</v>
      </c>
      <c r="P51" s="59">
        <v>0</v>
      </c>
      <c r="Q51" s="59">
        <v>0</v>
      </c>
      <c r="R51" s="59">
        <v>-4300</v>
      </c>
      <c r="S51" s="59">
        <v>-1.6999999999998181</v>
      </c>
      <c r="T51" s="59">
        <f t="shared" si="2"/>
        <v>-4301.7</v>
      </c>
    </row>
    <row r="52" spans="1:20">
      <c r="B52" s="65" t="s">
        <v>26</v>
      </c>
      <c r="C52" s="65" t="s">
        <v>58</v>
      </c>
      <c r="D52" s="65" t="s">
        <v>229</v>
      </c>
      <c r="E52" s="102"/>
      <c r="F52" s="65"/>
      <c r="G52" s="67"/>
      <c r="H52" s="59">
        <v>0</v>
      </c>
      <c r="I52" s="59">
        <v>0</v>
      </c>
      <c r="J52" s="59">
        <v>0</v>
      </c>
      <c r="K52" s="59">
        <v>0</v>
      </c>
      <c r="L52" s="59">
        <v>0</v>
      </c>
      <c r="M52" s="59">
        <v>0</v>
      </c>
      <c r="N52" s="59">
        <v>0</v>
      </c>
      <c r="O52" s="59">
        <v>0</v>
      </c>
      <c r="P52" s="59">
        <v>-9500</v>
      </c>
      <c r="Q52" s="59">
        <v>2626.2799999999997</v>
      </c>
      <c r="R52" s="59">
        <v>0</v>
      </c>
      <c r="S52" s="59">
        <v>0</v>
      </c>
      <c r="T52" s="59">
        <f t="shared" si="2"/>
        <v>-6873.72</v>
      </c>
    </row>
    <row r="53" spans="1:20">
      <c r="B53" s="65" t="s">
        <v>26</v>
      </c>
      <c r="C53" s="66" t="s">
        <v>230</v>
      </c>
      <c r="D53" s="65" t="s">
        <v>255</v>
      </c>
      <c r="E53" s="102"/>
      <c r="F53" s="65"/>
      <c r="G53" s="67"/>
      <c r="H53" s="59">
        <v>0</v>
      </c>
      <c r="I53" s="59">
        <v>0</v>
      </c>
      <c r="J53" s="59">
        <v>-700</v>
      </c>
      <c r="K53" s="59">
        <v>0</v>
      </c>
      <c r="L53" s="59">
        <v>0</v>
      </c>
      <c r="M53" s="59">
        <v>0</v>
      </c>
      <c r="N53" s="59">
        <v>0</v>
      </c>
      <c r="O53" s="59">
        <v>0</v>
      </c>
      <c r="P53" s="59">
        <v>0</v>
      </c>
      <c r="Q53" s="59">
        <v>0</v>
      </c>
      <c r="R53" s="59">
        <v>0</v>
      </c>
      <c r="S53" s="59">
        <v>-178.76</v>
      </c>
      <c r="T53" s="59">
        <f t="shared" si="2"/>
        <v>-878.76</v>
      </c>
    </row>
    <row r="54" spans="1:20">
      <c r="B54" s="65" t="s">
        <v>26</v>
      </c>
      <c r="C54" s="65" t="s">
        <v>231</v>
      </c>
      <c r="D54" s="65" t="s">
        <v>232</v>
      </c>
      <c r="E54" s="102"/>
      <c r="F54" s="65"/>
      <c r="G54" s="67"/>
      <c r="H54" s="59">
        <v>0</v>
      </c>
      <c r="I54" s="59">
        <v>0</v>
      </c>
      <c r="J54" s="59">
        <v>0</v>
      </c>
      <c r="K54" s="59">
        <v>0</v>
      </c>
      <c r="L54" s="59">
        <v>0</v>
      </c>
      <c r="M54" s="59">
        <v>0</v>
      </c>
      <c r="N54" s="59">
        <v>0</v>
      </c>
      <c r="O54" s="59">
        <v>0</v>
      </c>
      <c r="P54" s="59">
        <v>-5000</v>
      </c>
      <c r="Q54" s="59">
        <v>5000</v>
      </c>
      <c r="R54" s="59">
        <v>0</v>
      </c>
      <c r="S54" s="59">
        <v>0</v>
      </c>
      <c r="T54" s="59">
        <f t="shared" si="2"/>
        <v>0</v>
      </c>
    </row>
    <row r="55" spans="1:20">
      <c r="B55" s="65" t="s">
        <v>26</v>
      </c>
      <c r="C55" s="65" t="s">
        <v>137</v>
      </c>
      <c r="D55" s="65" t="s">
        <v>166</v>
      </c>
      <c r="E55" s="102"/>
      <c r="F55" s="65"/>
      <c r="G55" s="67"/>
      <c r="H55" s="59">
        <v>0</v>
      </c>
      <c r="I55" s="59">
        <v>0</v>
      </c>
      <c r="J55" s="59">
        <v>0</v>
      </c>
      <c r="K55" s="59">
        <v>0</v>
      </c>
      <c r="L55" s="59">
        <v>0</v>
      </c>
      <c r="M55" s="59">
        <v>0</v>
      </c>
      <c r="N55" s="59">
        <v>-52509</v>
      </c>
      <c r="O55" s="59">
        <v>-26254</v>
      </c>
      <c r="P55" s="59">
        <v>-26254</v>
      </c>
      <c r="Q55" s="59">
        <v>0</v>
      </c>
      <c r="R55" s="59">
        <v>0</v>
      </c>
      <c r="S55" s="59">
        <v>0</v>
      </c>
      <c r="T55" s="59">
        <f t="shared" si="2"/>
        <v>-105017</v>
      </c>
    </row>
    <row r="56" spans="1:20">
      <c r="A56" s="74"/>
      <c r="B56" s="69" t="s">
        <v>26</v>
      </c>
      <c r="C56" s="69" t="s">
        <v>137</v>
      </c>
      <c r="D56" s="69" t="s">
        <v>229</v>
      </c>
      <c r="E56" s="104"/>
      <c r="F56" s="69"/>
      <c r="G56" s="71"/>
      <c r="H56" s="72">
        <v>0</v>
      </c>
      <c r="I56" s="72">
        <v>0</v>
      </c>
      <c r="J56" s="72">
        <v>0</v>
      </c>
      <c r="K56" s="72">
        <v>0</v>
      </c>
      <c r="L56" s="72">
        <v>0</v>
      </c>
      <c r="M56" s="72">
        <v>0</v>
      </c>
      <c r="N56" s="72">
        <v>0</v>
      </c>
      <c r="O56" s="72">
        <v>0</v>
      </c>
      <c r="P56" s="72">
        <v>-8000</v>
      </c>
      <c r="Q56" s="72">
        <v>8000</v>
      </c>
      <c r="R56" s="72">
        <v>0</v>
      </c>
      <c r="S56" s="72">
        <v>0</v>
      </c>
      <c r="T56" s="72">
        <f t="shared" si="2"/>
        <v>0</v>
      </c>
    </row>
    <row r="57" spans="1:20">
      <c r="B57" s="65" t="s">
        <v>27</v>
      </c>
      <c r="C57" s="65" t="s">
        <v>129</v>
      </c>
      <c r="D57" s="65" t="s">
        <v>233</v>
      </c>
      <c r="E57" s="102"/>
      <c r="F57" s="65"/>
      <c r="H57" s="59">
        <v>-10660.52</v>
      </c>
      <c r="I57" s="59">
        <v>0</v>
      </c>
      <c r="J57" s="59">
        <v>0</v>
      </c>
      <c r="K57" s="59">
        <v>0</v>
      </c>
      <c r="L57" s="59">
        <v>0</v>
      </c>
      <c r="M57" s="59">
        <v>0</v>
      </c>
      <c r="N57" s="59">
        <v>0</v>
      </c>
      <c r="O57" s="59">
        <v>0</v>
      </c>
      <c r="P57" s="59">
        <v>0</v>
      </c>
      <c r="Q57" s="59">
        <v>0</v>
      </c>
      <c r="R57" s="59">
        <v>0</v>
      </c>
      <c r="S57" s="59">
        <v>0</v>
      </c>
      <c r="T57" s="59">
        <f t="shared" si="2"/>
        <v>-10660.52</v>
      </c>
    </row>
    <row r="58" spans="1:20">
      <c r="B58" s="65" t="s">
        <v>27</v>
      </c>
      <c r="C58" s="65" t="s">
        <v>129</v>
      </c>
      <c r="D58" s="65" t="s">
        <v>234</v>
      </c>
      <c r="E58" s="102"/>
      <c r="F58" s="65"/>
      <c r="H58" s="59">
        <v>0</v>
      </c>
      <c r="I58" s="59">
        <v>0</v>
      </c>
      <c r="J58" s="59">
        <v>0</v>
      </c>
      <c r="K58" s="59">
        <v>-27000</v>
      </c>
      <c r="L58" s="59">
        <v>9948.25</v>
      </c>
      <c r="M58" s="59">
        <v>0</v>
      </c>
      <c r="N58" s="59">
        <v>0</v>
      </c>
      <c r="O58" s="59">
        <v>0</v>
      </c>
      <c r="P58" s="59">
        <v>0</v>
      </c>
      <c r="Q58" s="59">
        <v>0</v>
      </c>
      <c r="R58" s="59">
        <v>0</v>
      </c>
      <c r="S58" s="59">
        <v>0</v>
      </c>
      <c r="T58" s="59">
        <f t="shared" si="2"/>
        <v>-17051.75</v>
      </c>
    </row>
    <row r="59" spans="1:20">
      <c r="B59" s="65" t="s">
        <v>27</v>
      </c>
      <c r="C59" s="65" t="s">
        <v>129</v>
      </c>
      <c r="D59" s="65" t="s">
        <v>226</v>
      </c>
      <c r="E59" s="102"/>
      <c r="F59" s="65"/>
      <c r="H59" s="59">
        <v>0</v>
      </c>
      <c r="I59" s="59">
        <v>0</v>
      </c>
      <c r="J59" s="59">
        <v>0</v>
      </c>
      <c r="K59" s="59">
        <v>0</v>
      </c>
      <c r="L59" s="59">
        <v>0</v>
      </c>
      <c r="M59" s="59">
        <v>0</v>
      </c>
      <c r="N59" s="59">
        <v>0</v>
      </c>
      <c r="O59" s="59">
        <v>-12958.35</v>
      </c>
      <c r="P59" s="59">
        <v>0</v>
      </c>
      <c r="Q59" s="59">
        <v>0</v>
      </c>
      <c r="R59" s="59">
        <v>0</v>
      </c>
      <c r="S59" s="59">
        <v>0</v>
      </c>
      <c r="T59" s="59">
        <f t="shared" si="2"/>
        <v>-12958.35</v>
      </c>
    </row>
    <row r="60" spans="1:20">
      <c r="B60" s="65" t="s">
        <v>27</v>
      </c>
      <c r="C60" s="65" t="s">
        <v>129</v>
      </c>
      <c r="D60" s="66" t="s">
        <v>205</v>
      </c>
      <c r="E60" s="103"/>
      <c r="F60" s="65"/>
      <c r="H60" s="59">
        <v>0</v>
      </c>
      <c r="I60" s="59">
        <v>0</v>
      </c>
      <c r="J60" s="59">
        <v>-102.84</v>
      </c>
      <c r="K60" s="59">
        <v>0</v>
      </c>
      <c r="L60" s="59">
        <v>-322.2</v>
      </c>
      <c r="M60" s="59">
        <v>0</v>
      </c>
      <c r="N60" s="59">
        <v>-3497.45</v>
      </c>
      <c r="O60" s="59">
        <v>0</v>
      </c>
      <c r="P60" s="59">
        <v>0</v>
      </c>
      <c r="Q60" s="59">
        <v>0</v>
      </c>
      <c r="R60" s="59">
        <v>0</v>
      </c>
      <c r="S60" s="59">
        <v>0</v>
      </c>
      <c r="T60" s="59">
        <f t="shared" si="2"/>
        <v>-3922.49</v>
      </c>
    </row>
    <row r="61" spans="1:20">
      <c r="B61" s="65" t="s">
        <v>27</v>
      </c>
      <c r="C61" s="65" t="s">
        <v>129</v>
      </c>
      <c r="D61" s="65" t="s">
        <v>274</v>
      </c>
      <c r="E61" s="102"/>
      <c r="F61" s="65"/>
      <c r="H61" s="59">
        <v>0</v>
      </c>
      <c r="I61" s="59">
        <v>0</v>
      </c>
      <c r="J61" s="59">
        <v>0</v>
      </c>
      <c r="K61" s="59">
        <v>0</v>
      </c>
      <c r="L61" s="59">
        <v>0</v>
      </c>
      <c r="M61" s="59">
        <v>0</v>
      </c>
      <c r="N61" s="59">
        <v>0</v>
      </c>
      <c r="O61" s="59">
        <v>0</v>
      </c>
      <c r="P61" s="59">
        <v>-4456.59</v>
      </c>
      <c r="Q61" s="59">
        <v>0</v>
      </c>
      <c r="R61" s="59">
        <v>0</v>
      </c>
      <c r="S61" s="59">
        <v>0</v>
      </c>
      <c r="T61" s="59">
        <f t="shared" si="2"/>
        <v>-4456.59</v>
      </c>
    </row>
    <row r="62" spans="1:20">
      <c r="B62" s="65" t="s">
        <v>27</v>
      </c>
      <c r="C62" s="65" t="s">
        <v>235</v>
      </c>
      <c r="D62" s="65" t="s">
        <v>236</v>
      </c>
      <c r="E62" s="102"/>
      <c r="F62" s="65"/>
      <c r="H62" s="59">
        <v>-2370</v>
      </c>
      <c r="I62" s="59">
        <v>270</v>
      </c>
      <c r="J62" s="59">
        <v>0</v>
      </c>
      <c r="K62" s="59">
        <v>0</v>
      </c>
      <c r="L62" s="59">
        <v>0</v>
      </c>
      <c r="M62" s="59">
        <v>0</v>
      </c>
      <c r="N62" s="59">
        <v>0</v>
      </c>
      <c r="O62" s="59">
        <v>0</v>
      </c>
      <c r="P62" s="59">
        <v>0</v>
      </c>
      <c r="Q62" s="59">
        <v>0</v>
      </c>
      <c r="R62" s="59">
        <v>0</v>
      </c>
      <c r="S62" s="59">
        <v>0</v>
      </c>
      <c r="T62" s="59">
        <f t="shared" si="2"/>
        <v>-2100</v>
      </c>
    </row>
    <row r="63" spans="1:20">
      <c r="B63" s="65" t="s">
        <v>27</v>
      </c>
      <c r="C63" s="65" t="s">
        <v>63</v>
      </c>
      <c r="D63" s="65" t="s">
        <v>237</v>
      </c>
      <c r="E63" s="102" t="s">
        <v>209</v>
      </c>
      <c r="F63" s="65"/>
      <c r="H63" s="59">
        <v>0</v>
      </c>
      <c r="I63" s="59">
        <v>-10000</v>
      </c>
      <c r="J63" s="59">
        <v>2712.3100000000004</v>
      </c>
      <c r="K63" s="59">
        <v>0</v>
      </c>
      <c r="L63" s="59">
        <v>0</v>
      </c>
      <c r="M63" s="59">
        <v>0</v>
      </c>
      <c r="N63" s="59">
        <v>0</v>
      </c>
      <c r="O63" s="59">
        <v>0</v>
      </c>
      <c r="P63" s="59">
        <v>0</v>
      </c>
      <c r="Q63" s="59">
        <v>0</v>
      </c>
      <c r="R63" s="59">
        <v>0</v>
      </c>
      <c r="S63" s="59">
        <v>0</v>
      </c>
      <c r="T63" s="59">
        <f t="shared" si="2"/>
        <v>-7287.69</v>
      </c>
    </row>
    <row r="64" spans="1:20">
      <c r="B64" s="65" t="s">
        <v>27</v>
      </c>
      <c r="C64" s="65" t="s">
        <v>63</v>
      </c>
      <c r="D64" s="65" t="s">
        <v>121</v>
      </c>
      <c r="E64" s="102" t="s">
        <v>209</v>
      </c>
      <c r="F64" s="65"/>
      <c r="H64" s="59">
        <v>0</v>
      </c>
      <c r="I64" s="59">
        <v>0</v>
      </c>
      <c r="J64" s="59">
        <v>-20000</v>
      </c>
      <c r="K64" s="59">
        <v>0</v>
      </c>
      <c r="L64" s="59">
        <v>0</v>
      </c>
      <c r="M64" s="59">
        <v>0</v>
      </c>
      <c r="N64" s="59">
        <v>0</v>
      </c>
      <c r="O64" s="59">
        <v>0</v>
      </c>
      <c r="P64" s="59">
        <v>0</v>
      </c>
      <c r="Q64" s="59">
        <v>0</v>
      </c>
      <c r="R64" s="59">
        <v>0</v>
      </c>
      <c r="S64" s="59">
        <v>0</v>
      </c>
      <c r="T64" s="59">
        <f t="shared" si="2"/>
        <v>-20000</v>
      </c>
    </row>
    <row r="65" spans="1:20">
      <c r="B65" s="65" t="s">
        <v>27</v>
      </c>
      <c r="C65" s="65" t="s">
        <v>63</v>
      </c>
      <c r="D65" s="65" t="s">
        <v>256</v>
      </c>
      <c r="E65" s="102" t="s">
        <v>209</v>
      </c>
      <c r="F65" s="65"/>
      <c r="H65" s="59">
        <v>0</v>
      </c>
      <c r="I65" s="59">
        <v>0</v>
      </c>
      <c r="J65" s="59">
        <v>0</v>
      </c>
      <c r="K65" s="59">
        <v>0</v>
      </c>
      <c r="L65" s="59">
        <v>-5000</v>
      </c>
      <c r="M65" s="59">
        <v>3680.91</v>
      </c>
      <c r="N65" s="59">
        <v>0</v>
      </c>
      <c r="O65" s="59">
        <v>0</v>
      </c>
      <c r="P65" s="59">
        <v>0</v>
      </c>
      <c r="Q65" s="59">
        <v>0</v>
      </c>
      <c r="R65" s="59">
        <v>0</v>
      </c>
      <c r="S65" s="59">
        <v>0</v>
      </c>
      <c r="T65" s="59">
        <f t="shared" si="2"/>
        <v>-1319.0900000000001</v>
      </c>
    </row>
    <row r="66" spans="1:20">
      <c r="B66" s="65" t="s">
        <v>27</v>
      </c>
      <c r="C66" s="65" t="s">
        <v>63</v>
      </c>
      <c r="D66" s="65" t="s">
        <v>257</v>
      </c>
      <c r="E66" s="102" t="s">
        <v>209</v>
      </c>
      <c r="F66" s="65"/>
      <c r="H66" s="59">
        <v>0</v>
      </c>
      <c r="I66" s="59">
        <v>0</v>
      </c>
      <c r="J66" s="59">
        <v>0</v>
      </c>
      <c r="K66" s="59">
        <v>0</v>
      </c>
      <c r="L66" s="59">
        <v>0</v>
      </c>
      <c r="M66" s="59">
        <v>-4175</v>
      </c>
      <c r="N66" s="59">
        <v>0</v>
      </c>
      <c r="O66" s="59">
        <v>0</v>
      </c>
      <c r="P66" s="59">
        <v>0</v>
      </c>
      <c r="Q66" s="59">
        <v>0</v>
      </c>
      <c r="R66" s="59">
        <v>0</v>
      </c>
      <c r="S66" s="59">
        <v>0</v>
      </c>
      <c r="T66" s="59">
        <f t="shared" si="2"/>
        <v>-4175</v>
      </c>
    </row>
    <row r="67" spans="1:20">
      <c r="B67" s="65" t="s">
        <v>27</v>
      </c>
      <c r="C67" s="65" t="s">
        <v>63</v>
      </c>
      <c r="D67" s="65" t="s">
        <v>258</v>
      </c>
      <c r="E67" s="102" t="s">
        <v>209</v>
      </c>
      <c r="F67" s="65"/>
      <c r="H67" s="59">
        <v>0</v>
      </c>
      <c r="I67" s="59">
        <v>0</v>
      </c>
      <c r="J67" s="59">
        <v>0</v>
      </c>
      <c r="K67" s="59">
        <v>0</v>
      </c>
      <c r="L67" s="59">
        <v>0</v>
      </c>
      <c r="M67" s="59">
        <v>0</v>
      </c>
      <c r="N67" s="59">
        <v>0</v>
      </c>
      <c r="O67" s="59">
        <v>0</v>
      </c>
      <c r="P67" s="59">
        <v>0</v>
      </c>
      <c r="Q67" s="59">
        <v>-6928.47</v>
      </c>
      <c r="R67" s="59">
        <v>0</v>
      </c>
      <c r="S67" s="59">
        <v>0</v>
      </c>
      <c r="T67" s="59">
        <f t="shared" si="2"/>
        <v>-6928.47</v>
      </c>
    </row>
    <row r="68" spans="1:20">
      <c r="B68" s="65" t="s">
        <v>27</v>
      </c>
      <c r="C68" s="65" t="s">
        <v>63</v>
      </c>
      <c r="D68" s="65" t="s">
        <v>259</v>
      </c>
      <c r="E68" s="102" t="s">
        <v>209</v>
      </c>
      <c r="F68" s="65"/>
      <c r="H68" s="59">
        <v>0</v>
      </c>
      <c r="I68" s="59">
        <v>0</v>
      </c>
      <c r="J68" s="59">
        <v>0</v>
      </c>
      <c r="K68" s="59">
        <v>0</v>
      </c>
      <c r="L68" s="59">
        <v>0</v>
      </c>
      <c r="M68" s="59">
        <v>0</v>
      </c>
      <c r="N68" s="59">
        <v>0</v>
      </c>
      <c r="O68" s="59">
        <v>0</v>
      </c>
      <c r="P68" s="59">
        <v>-10000</v>
      </c>
      <c r="Q68" s="59">
        <v>10000</v>
      </c>
      <c r="R68" s="59">
        <v>0</v>
      </c>
      <c r="S68" s="59">
        <v>0</v>
      </c>
      <c r="T68" s="59">
        <f t="shared" si="2"/>
        <v>0</v>
      </c>
    </row>
    <row r="69" spans="1:20">
      <c r="B69" s="65" t="s">
        <v>27</v>
      </c>
      <c r="C69" s="110" t="s">
        <v>137</v>
      </c>
      <c r="D69" s="65" t="s">
        <v>259</v>
      </c>
      <c r="E69" s="102" t="s">
        <v>209</v>
      </c>
      <c r="F69" s="65"/>
      <c r="H69" s="59">
        <v>0</v>
      </c>
      <c r="I69" s="59">
        <v>0</v>
      </c>
      <c r="J69" s="59">
        <v>0</v>
      </c>
      <c r="K69" s="59">
        <v>0</v>
      </c>
      <c r="L69" s="59">
        <v>0</v>
      </c>
      <c r="M69" s="59">
        <v>0</v>
      </c>
      <c r="N69" s="59">
        <v>0</v>
      </c>
      <c r="O69" s="59">
        <v>0</v>
      </c>
      <c r="P69" s="59">
        <v>-25000</v>
      </c>
      <c r="Q69" s="59">
        <v>-13333.330000000002</v>
      </c>
      <c r="R69" s="59">
        <v>-38333.33</v>
      </c>
      <c r="S69" s="59">
        <v>-38333.339999999997</v>
      </c>
      <c r="T69" s="59">
        <f t="shared" si="2"/>
        <v>-115000</v>
      </c>
    </row>
    <row r="70" spans="1:20">
      <c r="B70" s="65" t="s">
        <v>27</v>
      </c>
      <c r="C70" s="65" t="s">
        <v>16</v>
      </c>
      <c r="D70" s="65" t="s">
        <v>238</v>
      </c>
      <c r="E70" s="102" t="s">
        <v>209</v>
      </c>
      <c r="F70" s="65"/>
      <c r="H70" s="59">
        <v>-22278.38</v>
      </c>
      <c r="I70" s="59">
        <v>0</v>
      </c>
      <c r="J70" s="59">
        <v>0</v>
      </c>
      <c r="K70" s="59">
        <v>0</v>
      </c>
      <c r="L70" s="59">
        <v>0</v>
      </c>
      <c r="M70" s="59">
        <v>0</v>
      </c>
      <c r="N70" s="59">
        <v>0</v>
      </c>
      <c r="O70" s="59">
        <v>0</v>
      </c>
      <c r="P70" s="59">
        <v>0</v>
      </c>
      <c r="Q70" s="59">
        <v>0</v>
      </c>
      <c r="R70" s="59">
        <v>0</v>
      </c>
      <c r="S70" s="59">
        <v>0</v>
      </c>
      <c r="T70" s="59">
        <f t="shared" si="2"/>
        <v>-22278.38</v>
      </c>
    </row>
    <row r="71" spans="1:20">
      <c r="B71" s="65" t="s">
        <v>27</v>
      </c>
      <c r="C71" s="65" t="s">
        <v>112</v>
      </c>
      <c r="D71" s="65" t="s">
        <v>168</v>
      </c>
      <c r="E71" s="102" t="s">
        <v>209</v>
      </c>
      <c r="F71" s="65" t="s">
        <v>362</v>
      </c>
      <c r="H71" s="59">
        <v>-10000</v>
      </c>
      <c r="I71" s="59">
        <v>-35619.47</v>
      </c>
      <c r="J71" s="59">
        <v>-14832.25</v>
      </c>
      <c r="K71" s="59">
        <v>-31816.3</v>
      </c>
      <c r="L71" s="59">
        <v>-52500</v>
      </c>
      <c r="M71" s="59">
        <v>-81790.3</v>
      </c>
      <c r="N71" s="59">
        <v>-80311.81</v>
      </c>
      <c r="O71" s="59">
        <v>-72129.060000000012</v>
      </c>
      <c r="P71" s="59">
        <v>-63719.94</v>
      </c>
      <c r="Q71" s="59">
        <v>-65963.08</v>
      </c>
      <c r="R71" s="59">
        <v>-68032.649999999994</v>
      </c>
      <c r="S71" s="59">
        <v>-69546.37</v>
      </c>
      <c r="T71" s="59">
        <f t="shared" si="2"/>
        <v>-646261.23</v>
      </c>
    </row>
    <row r="72" spans="1:20">
      <c r="B72" s="65" t="s">
        <v>27</v>
      </c>
      <c r="C72" s="65" t="s">
        <v>28</v>
      </c>
      <c r="D72" s="65" t="s">
        <v>168</v>
      </c>
      <c r="E72" s="102" t="s">
        <v>209</v>
      </c>
      <c r="F72" s="65" t="s">
        <v>362</v>
      </c>
      <c r="H72" s="59">
        <v>-15000</v>
      </c>
      <c r="I72" s="59">
        <v>-13639.869999999999</v>
      </c>
      <c r="J72" s="59">
        <v>-21343.4</v>
      </c>
      <c r="K72" s="59">
        <v>-43207.32</v>
      </c>
      <c r="L72" s="59">
        <v>-40000</v>
      </c>
      <c r="M72" s="59">
        <v>-80125.799999999988</v>
      </c>
      <c r="N72" s="59">
        <v>-47338.3</v>
      </c>
      <c r="O72" s="59">
        <v>-48693.8</v>
      </c>
      <c r="P72" s="59">
        <v>-58272.74</v>
      </c>
      <c r="Q72" s="59">
        <v>-53393.5</v>
      </c>
      <c r="R72" s="59">
        <v>-55818.17</v>
      </c>
      <c r="S72" s="59">
        <v>-62143.38</v>
      </c>
      <c r="T72" s="59">
        <f t="shared" si="2"/>
        <v>-538976.27999999991</v>
      </c>
    </row>
    <row r="73" spans="1:20">
      <c r="B73" s="65" t="s">
        <v>27</v>
      </c>
      <c r="C73" s="65" t="s">
        <v>62</v>
      </c>
      <c r="D73" s="65" t="s">
        <v>239</v>
      </c>
      <c r="E73" s="102" t="s">
        <v>209</v>
      </c>
      <c r="F73" s="65" t="s">
        <v>362</v>
      </c>
      <c r="H73" s="59">
        <v>0</v>
      </c>
      <c r="I73" s="59">
        <v>0</v>
      </c>
      <c r="J73" s="59">
        <v>0</v>
      </c>
      <c r="K73" s="59">
        <v>0</v>
      </c>
      <c r="L73" s="59">
        <v>0</v>
      </c>
      <c r="M73" s="59">
        <v>0</v>
      </c>
      <c r="N73" s="59">
        <v>0</v>
      </c>
      <c r="O73" s="59">
        <v>0</v>
      </c>
      <c r="P73" s="59">
        <v>-5000</v>
      </c>
      <c r="Q73" s="59">
        <v>0</v>
      </c>
      <c r="R73" s="59">
        <v>0</v>
      </c>
      <c r="S73" s="59">
        <v>-10000</v>
      </c>
      <c r="T73" s="59">
        <f t="shared" ref="T73:T104" si="3">SUM(H73:S73)</f>
        <v>-15000</v>
      </c>
    </row>
    <row r="74" spans="1:20">
      <c r="B74" s="65" t="s">
        <v>27</v>
      </c>
      <c r="C74" s="65" t="s">
        <v>28</v>
      </c>
      <c r="D74" s="65" t="s">
        <v>240</v>
      </c>
      <c r="E74" s="102" t="s">
        <v>209</v>
      </c>
      <c r="F74" s="65" t="s">
        <v>362</v>
      </c>
      <c r="H74" s="59">
        <v>-8250</v>
      </c>
      <c r="I74" s="59">
        <v>0</v>
      </c>
      <c r="J74" s="59">
        <v>0</v>
      </c>
      <c r="K74" s="59">
        <v>66.399999999999636</v>
      </c>
      <c r="L74" s="59">
        <v>0</v>
      </c>
      <c r="M74" s="59">
        <v>0</v>
      </c>
      <c r="N74" s="59">
        <v>0</v>
      </c>
      <c r="O74" s="59">
        <v>0</v>
      </c>
      <c r="P74" s="59">
        <v>0</v>
      </c>
      <c r="Q74" s="59">
        <v>0</v>
      </c>
      <c r="R74" s="59">
        <v>0</v>
      </c>
      <c r="S74" s="59">
        <v>0</v>
      </c>
      <c r="T74" s="59">
        <f t="shared" si="3"/>
        <v>-8183.6</v>
      </c>
    </row>
    <row r="75" spans="1:20">
      <c r="B75" s="65" t="s">
        <v>27</v>
      </c>
      <c r="C75" s="66" t="s">
        <v>205</v>
      </c>
      <c r="D75" s="65"/>
      <c r="E75" s="102"/>
      <c r="F75" s="65"/>
      <c r="H75" s="59">
        <v>0</v>
      </c>
      <c r="I75" s="59">
        <v>0</v>
      </c>
      <c r="J75" s="59">
        <v>0</v>
      </c>
      <c r="K75" s="59">
        <v>0</v>
      </c>
      <c r="L75" s="59">
        <v>0</v>
      </c>
      <c r="M75" s="59">
        <v>0</v>
      </c>
      <c r="N75" s="59">
        <v>0</v>
      </c>
      <c r="O75" s="59">
        <v>0</v>
      </c>
      <c r="P75" s="59">
        <v>0</v>
      </c>
      <c r="Q75" s="59">
        <v>0</v>
      </c>
      <c r="R75" s="59">
        <v>0</v>
      </c>
      <c r="S75" s="59">
        <v>2535.5300000000002</v>
      </c>
      <c r="T75" s="59">
        <f t="shared" si="3"/>
        <v>2535.5300000000002</v>
      </c>
    </row>
    <row r="76" spans="1:20">
      <c r="B76" s="65" t="s">
        <v>27</v>
      </c>
      <c r="C76" s="65" t="s">
        <v>204</v>
      </c>
      <c r="D76" s="65" t="s">
        <v>168</v>
      </c>
      <c r="E76" s="102" t="s">
        <v>209</v>
      </c>
      <c r="F76" s="65" t="s">
        <v>362</v>
      </c>
      <c r="H76" s="59">
        <v>0</v>
      </c>
      <c r="I76" s="59">
        <v>0</v>
      </c>
      <c r="J76" s="59">
        <v>0</v>
      </c>
      <c r="K76" s="59">
        <v>0</v>
      </c>
      <c r="L76" s="59">
        <v>0</v>
      </c>
      <c r="M76" s="59">
        <v>-9000</v>
      </c>
      <c r="N76" s="59">
        <v>0</v>
      </c>
      <c r="O76" s="59">
        <v>0</v>
      </c>
      <c r="P76" s="59">
        <v>0</v>
      </c>
      <c r="Q76" s="59">
        <v>0</v>
      </c>
      <c r="R76" s="59">
        <v>0</v>
      </c>
      <c r="S76" s="59">
        <v>0</v>
      </c>
      <c r="T76" s="59">
        <f t="shared" si="3"/>
        <v>-9000</v>
      </c>
    </row>
    <row r="77" spans="1:20">
      <c r="B77" s="65" t="s">
        <v>27</v>
      </c>
      <c r="C77" s="65" t="s">
        <v>275</v>
      </c>
      <c r="D77" s="65" t="s">
        <v>276</v>
      </c>
      <c r="E77" s="102" t="s">
        <v>209</v>
      </c>
      <c r="F77" s="65"/>
      <c r="H77" s="59">
        <v>0</v>
      </c>
      <c r="I77" s="59">
        <v>0</v>
      </c>
      <c r="J77" s="59">
        <v>0</v>
      </c>
      <c r="K77" s="59">
        <v>0</v>
      </c>
      <c r="L77" s="59">
        <v>0</v>
      </c>
      <c r="M77" s="59">
        <v>0</v>
      </c>
      <c r="N77" s="59">
        <v>0</v>
      </c>
      <c r="O77" s="59">
        <v>0</v>
      </c>
      <c r="P77" s="59">
        <v>0</v>
      </c>
      <c r="Q77" s="59">
        <v>0</v>
      </c>
      <c r="R77" s="59">
        <v>-2057.5</v>
      </c>
      <c r="S77" s="59">
        <v>-3559.31</v>
      </c>
      <c r="T77" s="59">
        <f t="shared" si="3"/>
        <v>-5616.8099999999995</v>
      </c>
    </row>
    <row r="78" spans="1:20">
      <c r="B78" s="65" t="s">
        <v>27</v>
      </c>
      <c r="C78" s="65" t="s">
        <v>275</v>
      </c>
      <c r="D78" s="65" t="s">
        <v>277</v>
      </c>
      <c r="E78" s="102" t="s">
        <v>209</v>
      </c>
      <c r="F78" s="65"/>
      <c r="H78" s="59">
        <v>0</v>
      </c>
      <c r="I78" s="59">
        <v>0</v>
      </c>
      <c r="J78" s="59">
        <v>0</v>
      </c>
      <c r="K78" s="59">
        <v>0</v>
      </c>
      <c r="L78" s="59">
        <v>0</v>
      </c>
      <c r="M78" s="59">
        <v>0</v>
      </c>
      <c r="N78" s="59">
        <v>-6220</v>
      </c>
      <c r="O78" s="59">
        <v>0</v>
      </c>
      <c r="P78" s="59">
        <v>0</v>
      </c>
      <c r="Q78" s="59">
        <v>0</v>
      </c>
      <c r="R78" s="59">
        <v>0</v>
      </c>
      <c r="S78" s="59">
        <v>0</v>
      </c>
      <c r="T78" s="59">
        <f t="shared" si="3"/>
        <v>-6220</v>
      </c>
    </row>
    <row r="79" spans="1:20">
      <c r="A79" s="74"/>
      <c r="B79" s="69" t="s">
        <v>27</v>
      </c>
      <c r="C79" s="69" t="s">
        <v>241</v>
      </c>
      <c r="D79" s="69" t="s">
        <v>242</v>
      </c>
      <c r="E79" s="104" t="s">
        <v>209</v>
      </c>
      <c r="F79" s="70"/>
      <c r="G79" s="75"/>
      <c r="H79" s="72">
        <v>-6257.32</v>
      </c>
      <c r="I79" s="72">
        <v>-6257.32</v>
      </c>
      <c r="J79" s="72">
        <v>-6257.33</v>
      </c>
      <c r="K79" s="72">
        <v>-3058.33</v>
      </c>
      <c r="L79" s="72">
        <v>-3058.33</v>
      </c>
      <c r="M79" s="72">
        <v>-3058.34</v>
      </c>
      <c r="N79" s="72">
        <v>-5845</v>
      </c>
      <c r="O79" s="72">
        <v>-5845</v>
      </c>
      <c r="P79" s="72">
        <v>-5845</v>
      </c>
      <c r="Q79" s="72">
        <v>-5471.66</v>
      </c>
      <c r="R79" s="72">
        <v>-5471.66</v>
      </c>
      <c r="S79" s="72">
        <v>-5471.68</v>
      </c>
      <c r="T79" s="72">
        <f t="shared" si="3"/>
        <v>-61896.970000000008</v>
      </c>
    </row>
    <row r="80" spans="1:20">
      <c r="B80" s="65" t="s">
        <v>22</v>
      </c>
      <c r="C80" s="65" t="s">
        <v>33</v>
      </c>
      <c r="D80" s="65" t="s">
        <v>243</v>
      </c>
      <c r="E80" s="102" t="str">
        <f>VLOOKUP($C80,'Marketing Fund 2022'!C:E,3,FALSE)</f>
        <v>Working</v>
      </c>
      <c r="F80" s="65"/>
      <c r="H80" s="59">
        <v>-351.64</v>
      </c>
      <c r="I80" s="59">
        <v>0</v>
      </c>
      <c r="J80" s="59">
        <v>0</v>
      </c>
      <c r="K80" s="59">
        <v>0</v>
      </c>
      <c r="L80" s="59">
        <v>0</v>
      </c>
      <c r="M80" s="59">
        <v>0</v>
      </c>
      <c r="N80" s="59">
        <v>0</v>
      </c>
      <c r="O80" s="59">
        <v>0</v>
      </c>
      <c r="P80" s="59">
        <v>0</v>
      </c>
      <c r="Q80" s="59">
        <v>0</v>
      </c>
      <c r="R80" s="59">
        <v>0</v>
      </c>
      <c r="S80" s="59">
        <v>0</v>
      </c>
      <c r="T80" s="59">
        <f t="shared" si="3"/>
        <v>-351.64</v>
      </c>
    </row>
    <row r="81" spans="1:20">
      <c r="A81" s="74"/>
      <c r="B81" s="69" t="s">
        <v>22</v>
      </c>
      <c r="C81" s="69" t="s">
        <v>38</v>
      </c>
      <c r="D81" s="69"/>
      <c r="E81" s="104"/>
      <c r="F81" s="70"/>
      <c r="G81" s="75"/>
      <c r="H81" s="72">
        <v>-1025.42</v>
      </c>
      <c r="I81" s="72">
        <v>-1025.43</v>
      </c>
      <c r="J81" s="72">
        <v>-1673.98</v>
      </c>
      <c r="K81" s="72">
        <v>-1025.42</v>
      </c>
      <c r="L81" s="72">
        <v>-1025.43</v>
      </c>
      <c r="M81" s="72">
        <v>-1673.98</v>
      </c>
      <c r="N81" s="72">
        <v>-1025.42</v>
      </c>
      <c r="O81" s="72">
        <v>-1025.42</v>
      </c>
      <c r="P81" s="72">
        <v>-1369.5100000000002</v>
      </c>
      <c r="Q81" s="72">
        <v>-1025.4000000000001</v>
      </c>
      <c r="R81" s="72">
        <v>-1176.97</v>
      </c>
      <c r="S81" s="72">
        <v>-1328.51</v>
      </c>
      <c r="T81" s="72">
        <f t="shared" si="3"/>
        <v>-14400.89</v>
      </c>
    </row>
    <row r="82" spans="1:20">
      <c r="B82" s="65" t="s">
        <v>32</v>
      </c>
      <c r="C82" s="65" t="s">
        <v>109</v>
      </c>
      <c r="D82" s="65" t="s">
        <v>245</v>
      </c>
      <c r="E82" s="102"/>
      <c r="F82" s="65"/>
      <c r="H82" s="59">
        <v>0</v>
      </c>
      <c r="I82" s="59">
        <v>0</v>
      </c>
      <c r="J82" s="59">
        <v>0</v>
      </c>
      <c r="K82" s="59">
        <v>0</v>
      </c>
      <c r="L82" s="59">
        <v>0</v>
      </c>
      <c r="M82" s="59">
        <v>0</v>
      </c>
      <c r="N82" s="59">
        <v>0</v>
      </c>
      <c r="O82" s="59">
        <v>0</v>
      </c>
      <c r="P82" s="59">
        <v>0</v>
      </c>
      <c r="Q82" s="59">
        <v>0</v>
      </c>
      <c r="R82" s="59">
        <v>0</v>
      </c>
      <c r="S82" s="59">
        <v>0</v>
      </c>
      <c r="T82" s="59">
        <f t="shared" si="3"/>
        <v>0</v>
      </c>
    </row>
    <row r="83" spans="1:20">
      <c r="B83" s="65" t="s">
        <v>32</v>
      </c>
      <c r="C83" s="65" t="s">
        <v>109</v>
      </c>
      <c r="D83" s="65" t="s">
        <v>108</v>
      </c>
      <c r="E83" s="102"/>
      <c r="F83" s="65"/>
      <c r="H83" s="59">
        <v>-1500</v>
      </c>
      <c r="I83" s="59">
        <v>-1500</v>
      </c>
      <c r="J83" s="59">
        <v>-1500</v>
      </c>
      <c r="K83" s="59">
        <v>-1500</v>
      </c>
      <c r="L83" s="59">
        <v>-1500</v>
      </c>
      <c r="M83" s="59">
        <v>-1500</v>
      </c>
      <c r="N83" s="59">
        <v>-1500</v>
      </c>
      <c r="O83" s="59">
        <v>-1500</v>
      </c>
      <c r="P83" s="59">
        <v>-1500</v>
      </c>
      <c r="Q83" s="59">
        <v>-1500</v>
      </c>
      <c r="R83" s="59">
        <v>-1500</v>
      </c>
      <c r="S83" s="59">
        <v>-1500</v>
      </c>
      <c r="T83" s="59">
        <f t="shared" si="3"/>
        <v>-18000</v>
      </c>
    </row>
    <row r="84" spans="1:20">
      <c r="B84" s="65" t="s">
        <v>32</v>
      </c>
      <c r="C84" s="65" t="s">
        <v>109</v>
      </c>
      <c r="D84" s="65" t="s">
        <v>246</v>
      </c>
      <c r="E84" s="102"/>
      <c r="F84" s="65"/>
      <c r="H84" s="59">
        <v>0</v>
      </c>
      <c r="I84" s="59">
        <v>0</v>
      </c>
      <c r="J84" s="59">
        <v>0</v>
      </c>
      <c r="K84" s="59">
        <v>0</v>
      </c>
      <c r="L84" s="59">
        <v>0</v>
      </c>
      <c r="M84" s="59">
        <v>0</v>
      </c>
      <c r="N84" s="59">
        <v>0</v>
      </c>
      <c r="O84" s="59">
        <v>0</v>
      </c>
      <c r="P84" s="59">
        <v>0</v>
      </c>
      <c r="Q84" s="59">
        <v>0</v>
      </c>
      <c r="R84" s="59">
        <v>0</v>
      </c>
      <c r="S84" s="59">
        <v>0</v>
      </c>
      <c r="T84" s="59">
        <f t="shared" si="3"/>
        <v>0</v>
      </c>
    </row>
    <row r="85" spans="1:20">
      <c r="B85" s="65" t="s">
        <v>32</v>
      </c>
      <c r="C85" s="65" t="s">
        <v>130</v>
      </c>
      <c r="D85" s="65" t="s">
        <v>247</v>
      </c>
      <c r="E85" s="102"/>
      <c r="F85" s="65"/>
      <c r="H85" s="59">
        <v>-79</v>
      </c>
      <c r="I85" s="59">
        <v>-79</v>
      </c>
      <c r="J85" s="59">
        <v>-79</v>
      </c>
      <c r="K85" s="59">
        <v>-79</v>
      </c>
      <c r="L85" s="59">
        <v>-375</v>
      </c>
      <c r="M85" s="59">
        <v>-79</v>
      </c>
      <c r="N85" s="59">
        <v>-158</v>
      </c>
      <c r="O85" s="59">
        <v>-79</v>
      </c>
      <c r="P85" s="59">
        <v>-128</v>
      </c>
      <c r="Q85" s="59">
        <v>-79</v>
      </c>
      <c r="R85" s="59">
        <v>-79</v>
      </c>
      <c r="S85" s="59">
        <v>-79</v>
      </c>
      <c r="T85" s="59">
        <f t="shared" si="3"/>
        <v>-1372</v>
      </c>
    </row>
    <row r="86" spans="1:20">
      <c r="B86" s="65" t="s">
        <v>32</v>
      </c>
      <c r="C86" s="65" t="s">
        <v>278</v>
      </c>
      <c r="D86" s="65"/>
      <c r="E86" s="102"/>
      <c r="F86" s="65"/>
      <c r="H86" s="59">
        <v>0</v>
      </c>
      <c r="I86" s="59">
        <v>0</v>
      </c>
      <c r="J86" s="59">
        <v>0</v>
      </c>
      <c r="K86" s="59">
        <v>0</v>
      </c>
      <c r="L86" s="59">
        <v>0</v>
      </c>
      <c r="M86" s="59">
        <v>0</v>
      </c>
      <c r="N86" s="59">
        <v>0</v>
      </c>
      <c r="O86" s="59">
        <v>0</v>
      </c>
      <c r="P86" s="59">
        <v>-132.83000000000001</v>
      </c>
      <c r="Q86" s="59">
        <v>0</v>
      </c>
      <c r="R86" s="59">
        <v>0</v>
      </c>
      <c r="S86" s="59">
        <v>0</v>
      </c>
      <c r="T86" s="59">
        <f t="shared" si="3"/>
        <v>-132.83000000000001</v>
      </c>
    </row>
    <row r="87" spans="1:20">
      <c r="B87" s="65" t="s">
        <v>32</v>
      </c>
      <c r="C87" s="65" t="s">
        <v>279</v>
      </c>
      <c r="D87" s="65"/>
      <c r="E87" s="102"/>
      <c r="F87" s="65"/>
      <c r="H87" s="59">
        <v>0</v>
      </c>
      <c r="I87" s="59">
        <v>0</v>
      </c>
      <c r="J87" s="59">
        <v>0</v>
      </c>
      <c r="K87" s="59">
        <v>0</v>
      </c>
      <c r="L87" s="59">
        <v>0</v>
      </c>
      <c r="M87" s="59">
        <v>0</v>
      </c>
      <c r="N87" s="59">
        <v>0</v>
      </c>
      <c r="O87" s="59">
        <v>0</v>
      </c>
      <c r="P87" s="59">
        <v>-1312.5</v>
      </c>
      <c r="Q87" s="59">
        <v>0</v>
      </c>
      <c r="R87" s="59">
        <v>-7138.28</v>
      </c>
      <c r="S87" s="59">
        <v>-5845.78</v>
      </c>
      <c r="T87" s="59">
        <f t="shared" si="3"/>
        <v>-14296.559999999998</v>
      </c>
    </row>
    <row r="88" spans="1:20" ht="14.55" customHeight="1">
      <c r="B88" s="65" t="s">
        <v>32</v>
      </c>
      <c r="C88" s="65" t="s">
        <v>34</v>
      </c>
      <c r="D88" s="65"/>
      <c r="E88" s="102"/>
      <c r="F88" s="66"/>
      <c r="G88" s="67"/>
      <c r="H88" s="59">
        <v>-6649.35</v>
      </c>
      <c r="I88" s="59">
        <v>-7134.96</v>
      </c>
      <c r="J88" s="59">
        <v>-6737.03</v>
      </c>
      <c r="K88" s="59">
        <v>-6824.7</v>
      </c>
      <c r="L88" s="59">
        <v>-7714.98</v>
      </c>
      <c r="M88" s="59">
        <v>-7141.6899999999987</v>
      </c>
      <c r="N88" s="59">
        <v>-6649.35</v>
      </c>
      <c r="O88" s="59">
        <v>-7013.55</v>
      </c>
      <c r="P88" s="59">
        <v>-3324.68</v>
      </c>
      <c r="Q88" s="59">
        <v>0</v>
      </c>
      <c r="R88" s="59">
        <v>0</v>
      </c>
      <c r="S88" s="59">
        <v>0</v>
      </c>
      <c r="T88" s="59">
        <f t="shared" si="3"/>
        <v>-59190.290000000008</v>
      </c>
    </row>
    <row r="89" spans="1:20">
      <c r="B89" s="61" t="s">
        <v>54</v>
      </c>
      <c r="C89" s="61"/>
      <c r="D89" s="61"/>
      <c r="E89" s="101"/>
      <c r="F89" s="61"/>
      <c r="G89" s="62"/>
      <c r="H89" s="64">
        <f t="shared" ref="H89:S89" si="4">SUM(H9:H88)</f>
        <v>-239146.89000000004</v>
      </c>
      <c r="I89" s="64">
        <f t="shared" si="4"/>
        <v>-244881.22</v>
      </c>
      <c r="J89" s="64">
        <f t="shared" si="4"/>
        <v>-251770.19999999998</v>
      </c>
      <c r="K89" s="64">
        <f t="shared" si="4"/>
        <v>-373759.59</v>
      </c>
      <c r="L89" s="64">
        <f t="shared" si="4"/>
        <v>-402282.26</v>
      </c>
      <c r="M89" s="77">
        <f t="shared" si="4"/>
        <v>-576917.36</v>
      </c>
      <c r="N89" s="64">
        <f t="shared" si="4"/>
        <v>-446638.33999999997</v>
      </c>
      <c r="O89" s="64">
        <f t="shared" si="4"/>
        <v>-474074.75999999995</v>
      </c>
      <c r="P89" s="64">
        <f t="shared" si="4"/>
        <v>-551762.44000000006</v>
      </c>
      <c r="Q89" s="64">
        <f t="shared" si="4"/>
        <v>-422615.98</v>
      </c>
      <c r="R89" s="64">
        <f t="shared" si="4"/>
        <v>-465621.66999999993</v>
      </c>
      <c r="S89" s="64">
        <f t="shared" si="4"/>
        <v>-508798.77</v>
      </c>
      <c r="T89" s="64">
        <f t="shared" si="3"/>
        <v>-4958269.4799999986</v>
      </c>
    </row>
    <row r="90" spans="1:20">
      <c r="B90" s="65" t="s">
        <v>36</v>
      </c>
      <c r="C90" s="43" t="s">
        <v>46</v>
      </c>
      <c r="D90" s="43"/>
      <c r="E90" s="106"/>
      <c r="H90" s="59">
        <v>-16897.729999999992</v>
      </c>
      <c r="I90" s="59">
        <v>44410.5</v>
      </c>
      <c r="J90" s="59">
        <v>-10071.779999999999</v>
      </c>
      <c r="K90" s="59">
        <v>79328.210000000006</v>
      </c>
      <c r="L90" s="59">
        <v>128391.41</v>
      </c>
      <c r="M90" s="59">
        <v>312226.08</v>
      </c>
      <c r="N90" s="59">
        <v>173674.95</v>
      </c>
      <c r="O90" s="59">
        <v>192375.02</v>
      </c>
      <c r="P90" s="59">
        <v>285400.96000000002</v>
      </c>
      <c r="Q90" s="59">
        <v>92238.17</v>
      </c>
      <c r="R90" s="59">
        <v>197564.7</v>
      </c>
      <c r="S90" s="59">
        <v>224496.08999999997</v>
      </c>
      <c r="T90" s="59">
        <f t="shared" si="3"/>
        <v>1703136.58</v>
      </c>
    </row>
    <row r="91" spans="1:20">
      <c r="B91" s="49" t="s">
        <v>50</v>
      </c>
      <c r="C91" s="43"/>
      <c r="D91" s="43"/>
      <c r="E91" s="106"/>
      <c r="F91" s="43"/>
      <c r="H91" s="78"/>
      <c r="I91" s="78"/>
      <c r="J91" s="78"/>
      <c r="K91" s="78">
        <f t="shared" ref="K91:S91" si="5">SUM(K4:K6)+K89+K90</f>
        <v>0</v>
      </c>
      <c r="L91" s="78">
        <f t="shared" si="5"/>
        <v>0</v>
      </c>
      <c r="M91" s="78">
        <f t="shared" si="5"/>
        <v>0</v>
      </c>
      <c r="N91" s="78">
        <f t="shared" si="5"/>
        <v>0</v>
      </c>
      <c r="O91" s="78">
        <f t="shared" si="5"/>
        <v>0</v>
      </c>
      <c r="P91" s="78">
        <f t="shared" si="5"/>
        <v>0</v>
      </c>
      <c r="Q91" s="78">
        <f t="shared" si="5"/>
        <v>0</v>
      </c>
      <c r="R91" s="78">
        <f t="shared" si="5"/>
        <v>0</v>
      </c>
      <c r="S91" s="78">
        <f t="shared" si="5"/>
        <v>0</v>
      </c>
      <c r="T91" s="57">
        <f t="shared" si="3"/>
        <v>0</v>
      </c>
    </row>
    <row r="92" spans="1:20">
      <c r="C92" s="43"/>
      <c r="D92" s="43"/>
      <c r="E92" s="106"/>
      <c r="F92" s="43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57"/>
    </row>
    <row r="93" spans="1:20" ht="9" customHeight="1"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</row>
    <row r="94" spans="1:20">
      <c r="B94" s="60" t="s">
        <v>249</v>
      </c>
      <c r="C94" s="61"/>
      <c r="D94" s="61"/>
      <c r="E94" s="101"/>
      <c r="F94" s="61"/>
      <c r="G94" s="62"/>
      <c r="H94" s="42">
        <f t="shared" ref="H94:T94" si="6">SUM(H7,H89)</f>
        <v>16897.729999999952</v>
      </c>
      <c r="I94" s="42">
        <f t="shared" si="6"/>
        <v>-8137.5</v>
      </c>
      <c r="J94" s="42">
        <f t="shared" si="6"/>
        <v>10071.780000000028</v>
      </c>
      <c r="K94" s="42">
        <f t="shared" si="6"/>
        <v>-79328.210000000021</v>
      </c>
      <c r="L94" s="42">
        <f t="shared" si="6"/>
        <v>-128391.41000000003</v>
      </c>
      <c r="M94" s="42">
        <f t="shared" si="6"/>
        <v>-312226.07999999996</v>
      </c>
      <c r="N94" s="42">
        <f t="shared" si="6"/>
        <v>-173674.94999999995</v>
      </c>
      <c r="O94" s="42">
        <f t="shared" si="6"/>
        <v>-192375.01999999996</v>
      </c>
      <c r="P94" s="42">
        <f t="shared" si="6"/>
        <v>-285400.96000000002</v>
      </c>
      <c r="Q94" s="42">
        <f t="shared" si="6"/>
        <v>-92238.169999999984</v>
      </c>
      <c r="R94" s="42">
        <f t="shared" si="6"/>
        <v>-197564.69999999995</v>
      </c>
      <c r="S94" s="42">
        <f t="shared" si="6"/>
        <v>-224496.09000000003</v>
      </c>
      <c r="T94" s="42">
        <f t="shared" si="6"/>
        <v>-1666863.5799999987</v>
      </c>
    </row>
    <row r="96" spans="1:20" ht="8.5" customHeight="1"/>
    <row r="97" spans="1:21" s="113" customFormat="1">
      <c r="A97" s="50"/>
      <c r="B97" s="53" t="s">
        <v>141</v>
      </c>
      <c r="C97" s="53"/>
      <c r="D97" s="53"/>
      <c r="E97" s="52"/>
      <c r="F97" s="53"/>
      <c r="G97" s="62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</row>
    <row r="98" spans="1:21">
      <c r="B98" s="56"/>
      <c r="D98" s="49" t="s">
        <v>138</v>
      </c>
      <c r="H98" s="51">
        <v>0</v>
      </c>
      <c r="I98" s="51">
        <v>0</v>
      </c>
      <c r="P98" s="57"/>
      <c r="Q98" s="57"/>
      <c r="T98" s="79">
        <f t="shared" ref="T98:T103" si="7">SUM(H98:S98)</f>
        <v>0</v>
      </c>
    </row>
    <row r="99" spans="1:21">
      <c r="B99" s="60" t="s">
        <v>139</v>
      </c>
      <c r="C99" s="61"/>
      <c r="D99" s="61"/>
      <c r="E99" s="101"/>
      <c r="F99" s="61"/>
      <c r="G99" s="62"/>
      <c r="H99" s="42">
        <f>SUM(H98)</f>
        <v>0</v>
      </c>
      <c r="I99" s="42">
        <f>SUM(I98)</f>
        <v>0</v>
      </c>
      <c r="J99" s="42"/>
      <c r="K99" s="42"/>
      <c r="L99" s="42"/>
      <c r="M99" s="42"/>
      <c r="N99" s="42"/>
      <c r="O99" s="42"/>
      <c r="P99" s="42">
        <f>SUM(P98)</f>
        <v>0</v>
      </c>
      <c r="Q99" s="42">
        <f t="shared" ref="Q99:S99" si="8">SUM(Q98)</f>
        <v>0</v>
      </c>
      <c r="R99" s="42">
        <f t="shared" si="8"/>
        <v>0</v>
      </c>
      <c r="S99" s="42">
        <f t="shared" si="8"/>
        <v>0</v>
      </c>
      <c r="T99" s="42">
        <f t="shared" si="7"/>
        <v>0</v>
      </c>
    </row>
    <row r="100" spans="1:21" ht="5.55" customHeight="1">
      <c r="T100" s="51">
        <f t="shared" si="7"/>
        <v>0</v>
      </c>
    </row>
    <row r="101" spans="1:21">
      <c r="B101" s="65" t="s">
        <v>27</v>
      </c>
      <c r="C101" s="65" t="s">
        <v>28</v>
      </c>
      <c r="D101" s="49" t="s">
        <v>138</v>
      </c>
      <c r="E101" s="55" t="s">
        <v>209</v>
      </c>
      <c r="F101" s="65" t="s">
        <v>362</v>
      </c>
      <c r="I101" s="59">
        <v>-24273</v>
      </c>
      <c r="P101" s="59"/>
      <c r="Q101" s="59"/>
      <c r="R101" s="59"/>
      <c r="S101" s="59"/>
      <c r="T101" s="59">
        <f t="shared" si="7"/>
        <v>-24273</v>
      </c>
    </row>
    <row r="102" spans="1:21">
      <c r="B102" s="65" t="s">
        <v>27</v>
      </c>
      <c r="C102" s="65" t="s">
        <v>250</v>
      </c>
      <c r="D102" s="49" t="s">
        <v>138</v>
      </c>
      <c r="I102" s="59">
        <v>-12000</v>
      </c>
      <c r="P102" s="59"/>
      <c r="Q102" s="59"/>
      <c r="R102" s="59"/>
      <c r="S102" s="59"/>
      <c r="T102" s="59">
        <f t="shared" si="7"/>
        <v>-12000</v>
      </c>
    </row>
    <row r="103" spans="1:21">
      <c r="B103" s="60" t="s">
        <v>140</v>
      </c>
      <c r="C103" s="61"/>
      <c r="D103" s="61"/>
      <c r="E103" s="101"/>
      <c r="F103" s="61"/>
      <c r="G103" s="62"/>
      <c r="H103" s="42">
        <f>SUM(H101:H102)</f>
        <v>0</v>
      </c>
      <c r="I103" s="42">
        <f>SUM(I101:I102)</f>
        <v>-36273</v>
      </c>
      <c r="J103" s="42"/>
      <c r="K103" s="42"/>
      <c r="L103" s="42"/>
      <c r="M103" s="42"/>
      <c r="N103" s="42"/>
      <c r="O103" s="42"/>
      <c r="P103" s="42">
        <f>SUM(P101:P102)</f>
        <v>0</v>
      </c>
      <c r="Q103" s="42">
        <f>SUM(Q101:Q102)</f>
        <v>0</v>
      </c>
      <c r="R103" s="42">
        <f>SUM(R101:R102)</f>
        <v>0</v>
      </c>
      <c r="S103" s="42">
        <f>SUM(S101:S102)</f>
        <v>0</v>
      </c>
      <c r="T103" s="42">
        <f t="shared" si="7"/>
        <v>-36273</v>
      </c>
    </row>
    <row r="104" spans="1:21" ht="6.6" customHeight="1">
      <c r="T104" s="79"/>
    </row>
    <row r="105" spans="1:21">
      <c r="B105" s="60" t="s">
        <v>251</v>
      </c>
      <c r="C105" s="61"/>
      <c r="D105" s="61"/>
      <c r="E105" s="101"/>
      <c r="F105" s="61"/>
      <c r="G105" s="62"/>
      <c r="H105" s="42">
        <f>H99+H103</f>
        <v>0</v>
      </c>
      <c r="I105" s="42">
        <f>I99+I103</f>
        <v>-36273</v>
      </c>
      <c r="J105" s="42"/>
      <c r="K105" s="42"/>
      <c r="L105" s="42"/>
      <c r="M105" s="42"/>
      <c r="N105" s="42"/>
      <c r="O105" s="42"/>
      <c r="P105" s="42">
        <f t="shared" ref="P105:T105" si="9">SUM(P99,P103)</f>
        <v>0</v>
      </c>
      <c r="Q105" s="42">
        <f t="shared" si="9"/>
        <v>0</v>
      </c>
      <c r="R105" s="42">
        <f t="shared" si="9"/>
        <v>0</v>
      </c>
      <c r="S105" s="42">
        <f t="shared" si="9"/>
        <v>0</v>
      </c>
      <c r="T105" s="42">
        <f t="shared" si="9"/>
        <v>-36273</v>
      </c>
    </row>
    <row r="107" spans="1:21" s="49" customFormat="1">
      <c r="B107" s="60" t="s">
        <v>209</v>
      </c>
      <c r="C107" s="61"/>
      <c r="D107" s="61"/>
      <c r="E107" s="101"/>
      <c r="F107" s="61"/>
      <c r="G107" s="63"/>
      <c r="H107" s="42">
        <f>SUMIF($E$8:$E$102,$B107,H$8:H$102)</f>
        <v>-107137.34000000001</v>
      </c>
      <c r="I107" s="42">
        <f t="shared" ref="I107:S107" si="10">SUMIF($E$8:$E$102,$B107,I$8:I$102)</f>
        <v>-154789.66</v>
      </c>
      <c r="J107" s="42">
        <f t="shared" si="10"/>
        <v>-129720.67</v>
      </c>
      <c r="K107" s="42">
        <f t="shared" si="10"/>
        <v>-226515.15</v>
      </c>
      <c r="L107" s="42">
        <f t="shared" si="10"/>
        <v>-303506.65999999997</v>
      </c>
      <c r="M107" s="42">
        <f t="shared" si="10"/>
        <v>-384890.10000000003</v>
      </c>
      <c r="N107" s="42">
        <f t="shared" si="10"/>
        <v>-299728.91000000003</v>
      </c>
      <c r="O107" s="42">
        <f t="shared" si="10"/>
        <v>-331589.43</v>
      </c>
      <c r="P107" s="42">
        <f t="shared" si="10"/>
        <v>-368337.68</v>
      </c>
      <c r="Q107" s="42">
        <f t="shared" si="10"/>
        <v>-295590.03999999998</v>
      </c>
      <c r="R107" s="42">
        <f t="shared" si="10"/>
        <v>-330213.30999999994</v>
      </c>
      <c r="S107" s="42">
        <f t="shared" si="10"/>
        <v>-353183.07999999996</v>
      </c>
      <c r="T107" s="42">
        <f t="shared" ref="T107:T108" si="11">SUM(H107:S107)</f>
        <v>-3285202.0300000003</v>
      </c>
      <c r="U107" s="111"/>
    </row>
    <row r="108" spans="1:21" s="49" customFormat="1">
      <c r="B108" s="60" t="s">
        <v>375</v>
      </c>
      <c r="C108" s="61"/>
      <c r="D108" s="61"/>
      <c r="E108" s="101"/>
      <c r="F108" s="61"/>
      <c r="G108" s="63"/>
      <c r="H108" s="42">
        <f>H89+H103-H107</f>
        <v>-132009.55000000005</v>
      </c>
      <c r="I108" s="42">
        <f t="shared" ref="I108:S108" si="12">I89+I103-I107</f>
        <v>-126364.55999999997</v>
      </c>
      <c r="J108" s="42">
        <f t="shared" si="12"/>
        <v>-122049.52999999998</v>
      </c>
      <c r="K108" s="42">
        <f t="shared" si="12"/>
        <v>-147244.44000000003</v>
      </c>
      <c r="L108" s="42">
        <f t="shared" si="12"/>
        <v>-98775.600000000035</v>
      </c>
      <c r="M108" s="42">
        <f t="shared" si="12"/>
        <v>-192027.25999999995</v>
      </c>
      <c r="N108" s="42">
        <f t="shared" si="12"/>
        <v>-146909.42999999993</v>
      </c>
      <c r="O108" s="42">
        <f t="shared" si="12"/>
        <v>-142485.32999999996</v>
      </c>
      <c r="P108" s="42">
        <f t="shared" si="12"/>
        <v>-183424.76000000007</v>
      </c>
      <c r="Q108" s="42">
        <f t="shared" si="12"/>
        <v>-127025.94</v>
      </c>
      <c r="R108" s="42">
        <f t="shared" si="12"/>
        <v>-135408.35999999999</v>
      </c>
      <c r="S108" s="42">
        <f t="shared" si="12"/>
        <v>-155615.69000000006</v>
      </c>
      <c r="T108" s="42">
        <f t="shared" si="11"/>
        <v>-1709340.4500000002</v>
      </c>
      <c r="U108" s="111"/>
    </row>
    <row r="109" spans="1:21" s="49" customFormat="1" ht="6.05" customHeight="1">
      <c r="E109" s="55"/>
      <c r="G109" s="50"/>
      <c r="U109" s="111"/>
    </row>
    <row r="110" spans="1:21" s="49" customFormat="1">
      <c r="B110" s="60" t="s">
        <v>362</v>
      </c>
      <c r="C110" s="61"/>
      <c r="D110" s="61"/>
      <c r="E110" s="101"/>
      <c r="F110" s="61"/>
      <c r="G110" s="63"/>
      <c r="H110" s="42">
        <f>SUMIF($F$8:$F$102,$B110,H$8:H$102)</f>
        <v>-33250</v>
      </c>
      <c r="I110" s="42">
        <f t="shared" ref="I110:S110" si="13">SUMIF($F$8:$F$102,$B110,I$8:I$102)</f>
        <v>-73532.34</v>
      </c>
      <c r="J110" s="42">
        <f t="shared" si="13"/>
        <v>-36175.65</v>
      </c>
      <c r="K110" s="42">
        <f t="shared" si="13"/>
        <v>-74957.22</v>
      </c>
      <c r="L110" s="42">
        <f t="shared" si="13"/>
        <v>-92500</v>
      </c>
      <c r="M110" s="42">
        <f t="shared" si="13"/>
        <v>-170916.09999999998</v>
      </c>
      <c r="N110" s="42">
        <f t="shared" si="13"/>
        <v>-127650.11</v>
      </c>
      <c r="O110" s="42">
        <f t="shared" si="13"/>
        <v>-120822.86000000002</v>
      </c>
      <c r="P110" s="42">
        <f t="shared" si="13"/>
        <v>-126992.68</v>
      </c>
      <c r="Q110" s="42">
        <f t="shared" si="13"/>
        <v>-119356.58</v>
      </c>
      <c r="R110" s="42">
        <f t="shared" si="13"/>
        <v>-123850.81999999999</v>
      </c>
      <c r="S110" s="42">
        <f t="shared" si="13"/>
        <v>-141689.75</v>
      </c>
      <c r="T110" s="42">
        <f t="shared" ref="T110" si="14">SUM(H110:S110)</f>
        <v>-1241694.1099999999</v>
      </c>
      <c r="U110" s="111"/>
    </row>
    <row r="111" spans="1:21">
      <c r="J111" s="80"/>
    </row>
    <row r="112" spans="1:21">
      <c r="J112" s="80"/>
    </row>
    <row r="113" spans="10:10">
      <c r="J113" s="80"/>
    </row>
    <row r="114" spans="10:10">
      <c r="J114" s="80"/>
    </row>
    <row r="115" spans="10:10">
      <c r="J115" s="80"/>
    </row>
  </sheetData>
  <mergeCells count="6">
    <mergeCell ref="H2:S2"/>
    <mergeCell ref="D2:D3"/>
    <mergeCell ref="F2:F3"/>
    <mergeCell ref="B2:B3"/>
    <mergeCell ref="C2:C3"/>
    <mergeCell ref="E2:E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28BE2-7355-45A6-91AD-D05A60453331}">
  <dimension ref="B1:Z115"/>
  <sheetViews>
    <sheetView showGridLines="0" zoomScale="85" zoomScaleNormal="85" workbookViewId="0">
      <pane xSplit="6" ySplit="7" topLeftCell="G8" activePane="bottomRight" state="frozen"/>
      <selection pane="topRight"/>
      <selection pane="bottomLeft"/>
      <selection pane="bottomRight"/>
    </sheetView>
  </sheetViews>
  <sheetFormatPr defaultColWidth="8.69921875" defaultRowHeight="14" outlineLevelCol="1"/>
  <cols>
    <col min="1" max="1" width="1.09765625" style="49" customWidth="1"/>
    <col min="2" max="2" width="26.69921875" style="49" customWidth="1"/>
    <col min="3" max="3" width="25.5" style="49" customWidth="1"/>
    <col min="4" max="4" width="28.3984375" style="49" customWidth="1"/>
    <col min="5" max="5" width="13.19921875" style="55" customWidth="1"/>
    <col min="6" max="6" width="18.8984375" style="49" customWidth="1"/>
    <col min="7" max="7" width="0.69921875" style="50" customWidth="1"/>
    <col min="8" max="8" width="11.09765625" style="49" customWidth="1"/>
    <col min="9" max="10" width="11" style="49" customWidth="1" outlineLevel="1"/>
    <col min="11" max="11" width="13.19921875" style="49" customWidth="1" outlineLevel="1"/>
    <col min="12" max="15" width="11.5" style="49" customWidth="1" outlineLevel="1"/>
    <col min="16" max="18" width="11.5" style="49" customWidth="1" outlineLevel="1" collapsed="1"/>
    <col min="19" max="19" width="11.5" style="49" customWidth="1" outlineLevel="1"/>
    <col min="20" max="20" width="11.5" style="49" customWidth="1"/>
    <col min="21" max="21" width="1.5" style="49" customWidth="1"/>
    <col min="22" max="16384" width="8.69921875" style="49"/>
  </cols>
  <sheetData>
    <row r="1" spans="2:21" ht="6.6" customHeight="1">
      <c r="E1" s="55">
        <v>-1</v>
      </c>
    </row>
    <row r="2" spans="2:21" ht="11.05" customHeight="1">
      <c r="B2" s="174" t="s">
        <v>0</v>
      </c>
      <c r="C2" s="174" t="s">
        <v>47</v>
      </c>
      <c r="D2" s="174" t="s">
        <v>100</v>
      </c>
      <c r="E2" s="174" t="s">
        <v>53</v>
      </c>
      <c r="F2" s="174" t="s">
        <v>361</v>
      </c>
      <c r="H2" s="176" t="s">
        <v>212</v>
      </c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54"/>
      <c r="U2" s="54"/>
    </row>
    <row r="3" spans="2:21" ht="11.05" customHeight="1">
      <c r="B3" s="174"/>
      <c r="C3" s="174"/>
      <c r="D3" s="174"/>
      <c r="E3" s="174"/>
      <c r="F3" s="174"/>
      <c r="H3" s="54" t="s">
        <v>363</v>
      </c>
      <c r="I3" s="54" t="s">
        <v>364</v>
      </c>
      <c r="J3" s="54" t="s">
        <v>365</v>
      </c>
      <c r="K3" s="54" t="s">
        <v>366</v>
      </c>
      <c r="L3" s="54" t="s">
        <v>367</v>
      </c>
      <c r="M3" s="54" t="s">
        <v>368</v>
      </c>
      <c r="N3" s="54" t="s">
        <v>369</v>
      </c>
      <c r="O3" s="54" t="s">
        <v>370</v>
      </c>
      <c r="P3" s="54" t="s">
        <v>371</v>
      </c>
      <c r="Q3" s="54" t="s">
        <v>372</v>
      </c>
      <c r="R3" s="54" t="s">
        <v>373</v>
      </c>
      <c r="S3" s="54" t="s">
        <v>374</v>
      </c>
      <c r="T3" s="54" t="s">
        <v>213</v>
      </c>
      <c r="U3" s="54"/>
    </row>
    <row r="4" spans="2:21">
      <c r="B4" s="56" t="s">
        <v>1</v>
      </c>
      <c r="G4" s="58"/>
      <c r="H4" s="57">
        <v>278297.64402900432</v>
      </c>
      <c r="I4" s="57">
        <v>254978.11363970398</v>
      </c>
      <c r="J4" s="57">
        <v>277449.72579910856</v>
      </c>
      <c r="K4" s="57">
        <v>271510.45758733962</v>
      </c>
      <c r="L4" s="57">
        <v>290630.54954571277</v>
      </c>
      <c r="M4" s="57">
        <v>278280.59402819542</v>
      </c>
      <c r="N4" s="57">
        <v>541292.26843764121</v>
      </c>
      <c r="O4" s="57">
        <v>573539.10244058166</v>
      </c>
      <c r="P4" s="57">
        <v>539469.96491365216</v>
      </c>
      <c r="Q4" s="57">
        <v>588719.05831190723</v>
      </c>
      <c r="R4" s="57">
        <v>567395.89812554698</v>
      </c>
      <c r="S4" s="57">
        <v>630609.47498121101</v>
      </c>
      <c r="T4" s="57">
        <f>SUM(H4:S4)</f>
        <v>5092172.8518396057</v>
      </c>
      <c r="U4" s="41"/>
    </row>
    <row r="5" spans="2:21">
      <c r="B5" s="56" t="s">
        <v>48</v>
      </c>
      <c r="G5" s="58"/>
      <c r="H5" s="57">
        <v>0</v>
      </c>
      <c r="I5" s="57">
        <v>0</v>
      </c>
      <c r="J5" s="57">
        <v>0</v>
      </c>
      <c r="K5" s="57">
        <v>0</v>
      </c>
      <c r="L5" s="57">
        <v>0</v>
      </c>
      <c r="M5" s="57">
        <v>0</v>
      </c>
      <c r="N5" s="57">
        <v>0</v>
      </c>
      <c r="O5" s="57">
        <v>0</v>
      </c>
      <c r="P5" s="57">
        <v>0</v>
      </c>
      <c r="Q5" s="57">
        <v>0</v>
      </c>
      <c r="R5" s="57">
        <v>0</v>
      </c>
      <c r="S5" s="57">
        <v>0</v>
      </c>
      <c r="T5" s="57">
        <f t="shared" ref="T5:T6" si="0">SUM(H5:S5)</f>
        <v>0</v>
      </c>
      <c r="U5" s="41"/>
    </row>
    <row r="6" spans="2:21">
      <c r="B6" s="56" t="s">
        <v>49</v>
      </c>
      <c r="G6" s="58"/>
      <c r="H6" s="57">
        <v>0</v>
      </c>
      <c r="I6" s="57">
        <v>0</v>
      </c>
      <c r="J6" s="57">
        <v>0</v>
      </c>
      <c r="K6" s="57">
        <v>0</v>
      </c>
      <c r="L6" s="57">
        <v>0</v>
      </c>
      <c r="M6" s="57">
        <v>0</v>
      </c>
      <c r="N6" s="57">
        <v>0</v>
      </c>
      <c r="O6" s="57">
        <v>0</v>
      </c>
      <c r="P6" s="57">
        <v>0</v>
      </c>
      <c r="Q6" s="57">
        <v>0</v>
      </c>
      <c r="R6" s="57">
        <v>0</v>
      </c>
      <c r="S6" s="57">
        <v>0</v>
      </c>
      <c r="T6" s="57">
        <f t="shared" si="0"/>
        <v>0</v>
      </c>
      <c r="U6" s="41"/>
    </row>
    <row r="7" spans="2:21">
      <c r="B7" s="60" t="s">
        <v>52</v>
      </c>
      <c r="C7" s="61"/>
      <c r="D7" s="61"/>
      <c r="E7" s="101"/>
      <c r="F7" s="61"/>
      <c r="G7" s="63"/>
      <c r="H7" s="42">
        <f t="shared" ref="H7:U7" si="1">SUM(H4:H6)</f>
        <v>278297.64402900432</v>
      </c>
      <c r="I7" s="42">
        <f t="shared" si="1"/>
        <v>254978.11363970398</v>
      </c>
      <c r="J7" s="42">
        <f t="shared" si="1"/>
        <v>277449.72579910856</v>
      </c>
      <c r="K7" s="42">
        <f t="shared" si="1"/>
        <v>271510.45758733962</v>
      </c>
      <c r="L7" s="42">
        <f t="shared" si="1"/>
        <v>290630.54954571277</v>
      </c>
      <c r="M7" s="42">
        <f t="shared" si="1"/>
        <v>278280.59402819542</v>
      </c>
      <c r="N7" s="42">
        <f t="shared" si="1"/>
        <v>541292.26843764121</v>
      </c>
      <c r="O7" s="42">
        <f t="shared" si="1"/>
        <v>573539.10244058166</v>
      </c>
      <c r="P7" s="42">
        <f t="shared" si="1"/>
        <v>539469.96491365216</v>
      </c>
      <c r="Q7" s="42">
        <f t="shared" si="1"/>
        <v>588719.05831190723</v>
      </c>
      <c r="R7" s="42">
        <f t="shared" si="1"/>
        <v>567395.89812554698</v>
      </c>
      <c r="S7" s="42">
        <f t="shared" si="1"/>
        <v>630609.47498121101</v>
      </c>
      <c r="T7" s="42">
        <f t="shared" si="1"/>
        <v>5092172.8518396057</v>
      </c>
      <c r="U7" s="42">
        <f t="shared" si="1"/>
        <v>0</v>
      </c>
    </row>
    <row r="8" spans="2:21" ht="9" customHeight="1">
      <c r="G8" s="58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>
        <f t="shared" ref="T8" si="2">SUM(H8:H8)</f>
        <v>0</v>
      </c>
      <c r="U8" s="59"/>
    </row>
    <row r="9" spans="2:21">
      <c r="B9" s="56" t="s">
        <v>39</v>
      </c>
      <c r="C9" s="56" t="s">
        <v>137</v>
      </c>
      <c r="D9" s="56" t="s">
        <v>99</v>
      </c>
      <c r="F9" s="56"/>
      <c r="G9" s="68"/>
      <c r="H9" s="59">
        <v>-26000</v>
      </c>
      <c r="I9" s="59">
        <v>-26000</v>
      </c>
      <c r="J9" s="59">
        <v>-26000</v>
      </c>
      <c r="K9" s="59">
        <v>-26000</v>
      </c>
      <c r="L9" s="59">
        <v>-26000</v>
      </c>
      <c r="M9" s="59">
        <v>-26000</v>
      </c>
      <c r="N9" s="59">
        <v>-26000</v>
      </c>
      <c r="O9" s="59">
        <v>-26000</v>
      </c>
      <c r="P9" s="59">
        <v>-26000</v>
      </c>
      <c r="Q9" s="59">
        <v>-26000</v>
      </c>
      <c r="R9" s="59">
        <v>-26000</v>
      </c>
      <c r="S9" s="59">
        <v>-26000</v>
      </c>
      <c r="T9" s="59">
        <f t="shared" ref="T9:T52" si="3">SUM(H9:S9)</f>
        <v>-312000</v>
      </c>
      <c r="U9" s="59"/>
    </row>
    <row r="10" spans="2:21">
      <c r="B10" s="56" t="s">
        <v>39</v>
      </c>
      <c r="C10" s="56" t="s">
        <v>63</v>
      </c>
      <c r="D10" s="56" t="s">
        <v>99</v>
      </c>
      <c r="F10" s="56"/>
      <c r="G10" s="68"/>
      <c r="H10" s="59">
        <v>-6500</v>
      </c>
      <c r="I10" s="59">
        <v>-6500</v>
      </c>
      <c r="J10" s="59">
        <v>-6500</v>
      </c>
      <c r="K10" s="59">
        <v>-6500</v>
      </c>
      <c r="L10" s="59">
        <v>-6500</v>
      </c>
      <c r="M10" s="59">
        <v>-6500</v>
      </c>
      <c r="N10" s="59">
        <v>-6500</v>
      </c>
      <c r="O10" s="59">
        <v>-6500</v>
      </c>
      <c r="P10" s="59">
        <v>-6500</v>
      </c>
      <c r="Q10" s="59">
        <v>-6500</v>
      </c>
      <c r="R10" s="59">
        <v>-6500</v>
      </c>
      <c r="S10" s="59">
        <v>-6500</v>
      </c>
      <c r="T10" s="59">
        <f t="shared" si="3"/>
        <v>-78000</v>
      </c>
      <c r="U10" s="59"/>
    </row>
    <row r="11" spans="2:21">
      <c r="B11" s="56" t="s">
        <v>39</v>
      </c>
      <c r="C11" s="56" t="s">
        <v>270</v>
      </c>
      <c r="D11" s="56" t="s">
        <v>332</v>
      </c>
      <c r="F11" s="56"/>
      <c r="G11" s="68"/>
      <c r="H11" s="59">
        <v>-10000</v>
      </c>
      <c r="I11" s="59">
        <v>-10000</v>
      </c>
      <c r="J11" s="59">
        <v>-10000</v>
      </c>
      <c r="K11" s="59">
        <v>-10000</v>
      </c>
      <c r="L11" s="59">
        <v>-10000</v>
      </c>
      <c r="M11" s="59">
        <v>-10000</v>
      </c>
      <c r="N11" s="59">
        <v>-10000</v>
      </c>
      <c r="O11" s="59">
        <v>-10000</v>
      </c>
      <c r="P11" s="59">
        <v>-10000</v>
      </c>
      <c r="Q11" s="59">
        <v>-10000</v>
      </c>
      <c r="R11" s="59">
        <v>-10000</v>
      </c>
      <c r="S11" s="59">
        <v>-10000</v>
      </c>
      <c r="T11" s="59">
        <f t="shared" si="3"/>
        <v>-120000</v>
      </c>
      <c r="U11" s="59"/>
    </row>
    <row r="12" spans="2:21">
      <c r="B12" s="158" t="s">
        <v>9</v>
      </c>
      <c r="C12" s="158" t="s">
        <v>214</v>
      </c>
      <c r="D12" s="158" t="s">
        <v>333</v>
      </c>
      <c r="E12" s="167"/>
      <c r="F12" s="158"/>
      <c r="G12" s="159"/>
      <c r="H12" s="160">
        <v>-6700</v>
      </c>
      <c r="I12" s="160">
        <v>-6700</v>
      </c>
      <c r="J12" s="160">
        <v>-6700</v>
      </c>
      <c r="K12" s="160">
        <v>-6700</v>
      </c>
      <c r="L12" s="160">
        <v>-6700</v>
      </c>
      <c r="M12" s="160">
        <v>-6700</v>
      </c>
      <c r="N12" s="160">
        <v>-6700</v>
      </c>
      <c r="O12" s="160">
        <v>-6700</v>
      </c>
      <c r="P12" s="160">
        <v>-6700</v>
      </c>
      <c r="Q12" s="160">
        <v>-6700</v>
      </c>
      <c r="R12" s="160">
        <v>-6700</v>
      </c>
      <c r="S12" s="160">
        <v>-6700</v>
      </c>
      <c r="T12" s="160">
        <f t="shared" si="3"/>
        <v>-80400</v>
      </c>
      <c r="U12" s="59"/>
    </row>
    <row r="13" spans="2:21">
      <c r="B13" s="56" t="s">
        <v>334</v>
      </c>
      <c r="C13" s="56" t="s">
        <v>116</v>
      </c>
      <c r="D13" s="56" t="s">
        <v>335</v>
      </c>
      <c r="F13" s="56"/>
      <c r="G13" s="68"/>
      <c r="H13" s="59">
        <v>-1500</v>
      </c>
      <c r="I13" s="59">
        <v>0</v>
      </c>
      <c r="J13" s="59">
        <v>0</v>
      </c>
      <c r="K13" s="59">
        <v>-1500</v>
      </c>
      <c r="L13" s="59">
        <v>0</v>
      </c>
      <c r="M13" s="59">
        <v>0</v>
      </c>
      <c r="N13" s="59">
        <v>-1500</v>
      </c>
      <c r="O13" s="59">
        <v>0</v>
      </c>
      <c r="P13" s="59">
        <v>0</v>
      </c>
      <c r="Q13" s="59">
        <v>-1500</v>
      </c>
      <c r="R13" s="59">
        <v>0</v>
      </c>
      <c r="S13" s="59">
        <v>0</v>
      </c>
      <c r="T13" s="59">
        <f t="shared" si="3"/>
        <v>-6000</v>
      </c>
      <c r="U13" s="59"/>
    </row>
    <row r="14" spans="2:21">
      <c r="B14" s="56" t="s">
        <v>334</v>
      </c>
      <c r="C14" s="56" t="s">
        <v>116</v>
      </c>
      <c r="D14" s="56" t="s">
        <v>336</v>
      </c>
      <c r="F14" s="56"/>
      <c r="G14" s="68"/>
      <c r="H14" s="59">
        <v>-7900</v>
      </c>
      <c r="I14" s="59">
        <v>-8000</v>
      </c>
      <c r="J14" s="59">
        <v>-8100</v>
      </c>
      <c r="K14" s="59">
        <v>-8200</v>
      </c>
      <c r="L14" s="59">
        <v>-8300</v>
      </c>
      <c r="M14" s="59">
        <v>-8400</v>
      </c>
      <c r="N14" s="59">
        <v>-8500</v>
      </c>
      <c r="O14" s="59">
        <v>-8600</v>
      </c>
      <c r="P14" s="59">
        <v>-8700</v>
      </c>
      <c r="Q14" s="59">
        <v>-8800</v>
      </c>
      <c r="R14" s="59">
        <v>-8900</v>
      </c>
      <c r="S14" s="59">
        <v>-9000</v>
      </c>
      <c r="T14" s="59">
        <f t="shared" si="3"/>
        <v>-101400</v>
      </c>
      <c r="U14" s="59"/>
    </row>
    <row r="15" spans="2:21">
      <c r="B15" s="56" t="s">
        <v>334</v>
      </c>
      <c r="C15" s="56" t="s">
        <v>7</v>
      </c>
      <c r="D15" s="56" t="s">
        <v>337</v>
      </c>
      <c r="F15" s="56"/>
      <c r="G15" s="68"/>
      <c r="H15" s="59">
        <v>0</v>
      </c>
      <c r="I15" s="59">
        <v>0</v>
      </c>
      <c r="J15" s="59">
        <v>0</v>
      </c>
      <c r="K15" s="59">
        <v>0</v>
      </c>
      <c r="L15" s="59">
        <v>0</v>
      </c>
      <c r="M15" s="59">
        <v>0</v>
      </c>
      <c r="N15" s="59">
        <v>0</v>
      </c>
      <c r="O15" s="59">
        <v>0</v>
      </c>
      <c r="P15" s="59">
        <v>-550</v>
      </c>
      <c r="Q15" s="59">
        <v>0</v>
      </c>
      <c r="R15" s="59">
        <v>0</v>
      </c>
      <c r="S15" s="59">
        <v>0</v>
      </c>
      <c r="T15" s="59">
        <f t="shared" si="3"/>
        <v>-550</v>
      </c>
      <c r="U15" s="59"/>
    </row>
    <row r="16" spans="2:21">
      <c r="B16" s="161" t="s">
        <v>14</v>
      </c>
      <c r="C16" s="161"/>
      <c r="D16" s="161" t="s">
        <v>338</v>
      </c>
      <c r="E16" s="168"/>
      <c r="F16" s="161"/>
      <c r="G16" s="92"/>
      <c r="H16" s="91">
        <v>0</v>
      </c>
      <c r="I16" s="91">
        <v>0</v>
      </c>
      <c r="J16" s="91">
        <v>0</v>
      </c>
      <c r="K16" s="91">
        <v>0</v>
      </c>
      <c r="L16" s="91">
        <v>-15000</v>
      </c>
      <c r="M16" s="91">
        <v>-15000</v>
      </c>
      <c r="N16" s="91">
        <v>-15000</v>
      </c>
      <c r="O16" s="91">
        <v>0</v>
      </c>
      <c r="P16" s="91">
        <v>0</v>
      </c>
      <c r="Q16" s="91">
        <v>0</v>
      </c>
      <c r="R16" s="91">
        <v>0</v>
      </c>
      <c r="S16" s="91">
        <v>0</v>
      </c>
      <c r="T16" s="91">
        <f t="shared" si="3"/>
        <v>-45000</v>
      </c>
      <c r="U16" s="59"/>
    </row>
    <row r="17" spans="2:21">
      <c r="B17" s="162" t="s">
        <v>14</v>
      </c>
      <c r="C17" s="162" t="s">
        <v>129</v>
      </c>
      <c r="D17" s="162" t="s">
        <v>215</v>
      </c>
      <c r="E17" s="169"/>
      <c r="F17" s="162"/>
      <c r="G17" s="163"/>
      <c r="H17" s="116">
        <v>0</v>
      </c>
      <c r="I17" s="116">
        <v>0</v>
      </c>
      <c r="J17" s="116">
        <v>-70000</v>
      </c>
      <c r="K17" s="116">
        <v>0</v>
      </c>
      <c r="L17" s="116">
        <v>0</v>
      </c>
      <c r="M17" s="116">
        <v>0</v>
      </c>
      <c r="N17" s="116">
        <v>-70000</v>
      </c>
      <c r="O17" s="116">
        <v>0</v>
      </c>
      <c r="P17" s="116">
        <v>0</v>
      </c>
      <c r="Q17" s="116">
        <v>0</v>
      </c>
      <c r="R17" s="116">
        <v>0</v>
      </c>
      <c r="S17" s="116">
        <v>-70000</v>
      </c>
      <c r="T17" s="116">
        <f t="shared" si="3"/>
        <v>-210000</v>
      </c>
      <c r="U17" s="59"/>
    </row>
    <row r="18" spans="2:21">
      <c r="B18" s="164" t="s">
        <v>14</v>
      </c>
      <c r="C18" s="164" t="s">
        <v>129</v>
      </c>
      <c r="D18" s="164" t="s">
        <v>339</v>
      </c>
      <c r="E18" s="170"/>
      <c r="F18" s="164"/>
      <c r="G18" s="73"/>
      <c r="H18" s="72">
        <v>-1000</v>
      </c>
      <c r="I18" s="72">
        <v>-1000</v>
      </c>
      <c r="J18" s="72">
        <v>-1000</v>
      </c>
      <c r="K18" s="72">
        <v>-1000</v>
      </c>
      <c r="L18" s="72">
        <v>-1000</v>
      </c>
      <c r="M18" s="72">
        <v>-1000</v>
      </c>
      <c r="N18" s="72">
        <v>-1000</v>
      </c>
      <c r="O18" s="72">
        <v>-1000</v>
      </c>
      <c r="P18" s="72">
        <v>-1000</v>
      </c>
      <c r="Q18" s="72">
        <v>-1000</v>
      </c>
      <c r="R18" s="72">
        <v>-1000</v>
      </c>
      <c r="S18" s="72">
        <v>-1000</v>
      </c>
      <c r="T18" s="72">
        <f t="shared" si="3"/>
        <v>-12000</v>
      </c>
      <c r="U18" s="59"/>
    </row>
    <row r="19" spans="2:21">
      <c r="B19" s="56" t="s">
        <v>17</v>
      </c>
      <c r="C19" s="56" t="s">
        <v>129</v>
      </c>
      <c r="D19" s="56" t="s">
        <v>340</v>
      </c>
      <c r="F19" s="56"/>
      <c r="G19" s="58"/>
      <c r="H19" s="59">
        <v>-500</v>
      </c>
      <c r="I19" s="59">
        <v>-500</v>
      </c>
      <c r="J19" s="59">
        <v>-500</v>
      </c>
      <c r="K19" s="59">
        <v>-500</v>
      </c>
      <c r="L19" s="59">
        <v>-500</v>
      </c>
      <c r="M19" s="59">
        <v>-500</v>
      </c>
      <c r="N19" s="59">
        <v>-500</v>
      </c>
      <c r="O19" s="59">
        <v>-500</v>
      </c>
      <c r="P19" s="59">
        <v>-500</v>
      </c>
      <c r="Q19" s="59">
        <v>-500</v>
      </c>
      <c r="R19" s="59">
        <v>-500</v>
      </c>
      <c r="S19" s="59">
        <v>-500</v>
      </c>
      <c r="T19" s="59">
        <f t="shared" si="3"/>
        <v>-6000</v>
      </c>
      <c r="U19" s="59"/>
    </row>
    <row r="20" spans="2:21">
      <c r="B20" s="56" t="s">
        <v>17</v>
      </c>
      <c r="C20" s="56" t="s">
        <v>16</v>
      </c>
      <c r="D20" s="56" t="s">
        <v>341</v>
      </c>
      <c r="F20" s="56"/>
      <c r="G20" s="58"/>
      <c r="H20" s="59">
        <v>0</v>
      </c>
      <c r="I20" s="59">
        <v>0</v>
      </c>
      <c r="J20" s="59">
        <v>-3000</v>
      </c>
      <c r="K20" s="59">
        <v>0</v>
      </c>
      <c r="L20" s="59">
        <v>0</v>
      </c>
      <c r="M20" s="59">
        <v>-3000</v>
      </c>
      <c r="N20" s="59">
        <v>0</v>
      </c>
      <c r="O20" s="59">
        <v>0</v>
      </c>
      <c r="P20" s="59">
        <v>-3000</v>
      </c>
      <c r="Q20" s="59">
        <v>0</v>
      </c>
      <c r="R20" s="59">
        <v>0</v>
      </c>
      <c r="S20" s="59">
        <v>0</v>
      </c>
      <c r="T20" s="59">
        <f t="shared" si="3"/>
        <v>-9000</v>
      </c>
      <c r="U20" s="59"/>
    </row>
    <row r="21" spans="2:21">
      <c r="B21" s="56" t="s">
        <v>17</v>
      </c>
      <c r="C21" s="56"/>
      <c r="D21" s="56" t="s">
        <v>205</v>
      </c>
      <c r="F21" s="56"/>
      <c r="G21" s="58"/>
      <c r="H21" s="59">
        <v>-3500</v>
      </c>
      <c r="I21" s="59">
        <v>-3500</v>
      </c>
      <c r="J21" s="59">
        <v>-3500</v>
      </c>
      <c r="K21" s="59">
        <v>-3500</v>
      </c>
      <c r="L21" s="59">
        <v>-3500</v>
      </c>
      <c r="M21" s="59">
        <v>-3500</v>
      </c>
      <c r="N21" s="59">
        <v>-3500</v>
      </c>
      <c r="O21" s="59">
        <v>-3500</v>
      </c>
      <c r="P21" s="59">
        <v>-3500</v>
      </c>
      <c r="Q21" s="59">
        <v>-3500</v>
      </c>
      <c r="R21" s="59">
        <v>-3500</v>
      </c>
      <c r="S21" s="59">
        <v>-3500</v>
      </c>
      <c r="T21" s="59">
        <f t="shared" si="3"/>
        <v>-42000</v>
      </c>
      <c r="U21" s="59"/>
    </row>
    <row r="22" spans="2:21">
      <c r="B22" s="158" t="s">
        <v>18</v>
      </c>
      <c r="C22" s="158" t="s">
        <v>19</v>
      </c>
      <c r="D22" s="158" t="s">
        <v>342</v>
      </c>
      <c r="E22" s="167"/>
      <c r="F22" s="158"/>
      <c r="G22" s="159"/>
      <c r="H22" s="160">
        <v>-2320</v>
      </c>
      <c r="I22" s="160">
        <v>-2360</v>
      </c>
      <c r="J22" s="160">
        <v>-2400</v>
      </c>
      <c r="K22" s="160">
        <v>-2440</v>
      </c>
      <c r="L22" s="160">
        <v>-2480</v>
      </c>
      <c r="M22" s="160">
        <v>-2520</v>
      </c>
      <c r="N22" s="160">
        <v>-2560</v>
      </c>
      <c r="O22" s="160">
        <v>-2600</v>
      </c>
      <c r="P22" s="160">
        <v>-2640</v>
      </c>
      <c r="Q22" s="160">
        <v>-2680</v>
      </c>
      <c r="R22" s="160">
        <v>-2720</v>
      </c>
      <c r="S22" s="160">
        <v>-2760</v>
      </c>
      <c r="T22" s="160">
        <f t="shared" si="3"/>
        <v>-30480</v>
      </c>
      <c r="U22" s="59"/>
    </row>
    <row r="23" spans="2:21">
      <c r="B23" s="56" t="s">
        <v>20</v>
      </c>
      <c r="C23" s="56" t="s">
        <v>31</v>
      </c>
      <c r="D23" s="56" t="s">
        <v>343</v>
      </c>
      <c r="E23" s="55" t="s">
        <v>209</v>
      </c>
      <c r="F23" s="56"/>
      <c r="G23" s="58"/>
      <c r="H23" s="59">
        <v>-1000</v>
      </c>
      <c r="I23" s="59">
        <v>-1000</v>
      </c>
      <c r="J23" s="59">
        <v>-1000</v>
      </c>
      <c r="K23" s="59">
        <v>-1000</v>
      </c>
      <c r="L23" s="59">
        <v>-1000</v>
      </c>
      <c r="M23" s="59">
        <v>-1000</v>
      </c>
      <c r="N23" s="59">
        <v>-1000</v>
      </c>
      <c r="O23" s="59">
        <v>-1000</v>
      </c>
      <c r="P23" s="59">
        <v>-1000</v>
      </c>
      <c r="Q23" s="59">
        <v>-1000</v>
      </c>
      <c r="R23" s="59">
        <v>-1000</v>
      </c>
      <c r="S23" s="59">
        <v>-1000</v>
      </c>
      <c r="T23" s="59">
        <f t="shared" si="3"/>
        <v>-12000</v>
      </c>
      <c r="U23" s="59"/>
    </row>
    <row r="24" spans="2:21">
      <c r="B24" s="56" t="s">
        <v>20</v>
      </c>
      <c r="C24" s="56" t="s">
        <v>63</v>
      </c>
      <c r="D24" s="56" t="s">
        <v>343</v>
      </c>
      <c r="E24" s="55" t="s">
        <v>209</v>
      </c>
      <c r="F24" s="56"/>
      <c r="G24" s="58"/>
      <c r="H24" s="59">
        <v>-5000</v>
      </c>
      <c r="I24" s="59">
        <v>-5000</v>
      </c>
      <c r="J24" s="59">
        <v>-5000</v>
      </c>
      <c r="K24" s="59">
        <v>-5000</v>
      </c>
      <c r="L24" s="59">
        <v>-5000</v>
      </c>
      <c r="M24" s="59">
        <v>-5000</v>
      </c>
      <c r="N24" s="59">
        <v>-5000</v>
      </c>
      <c r="O24" s="59">
        <v>-5000</v>
      </c>
      <c r="P24" s="59">
        <v>-5000</v>
      </c>
      <c r="Q24" s="59">
        <v>-5000</v>
      </c>
      <c r="R24" s="59">
        <v>-5000</v>
      </c>
      <c r="S24" s="59">
        <v>-5000</v>
      </c>
      <c r="T24" s="59">
        <f t="shared" si="3"/>
        <v>-60000</v>
      </c>
      <c r="U24" s="59"/>
    </row>
    <row r="25" spans="2:21">
      <c r="B25" s="56" t="s">
        <v>20</v>
      </c>
      <c r="C25" s="56" t="s">
        <v>269</v>
      </c>
      <c r="D25" s="56" t="s">
        <v>344</v>
      </c>
      <c r="E25" s="55" t="s">
        <v>209</v>
      </c>
      <c r="F25" s="56"/>
      <c r="G25" s="58"/>
      <c r="H25" s="59">
        <v>-5000</v>
      </c>
      <c r="I25" s="59">
        <v>-5000</v>
      </c>
      <c r="J25" s="59">
        <v>-5000</v>
      </c>
      <c r="K25" s="59">
        <v>-5000</v>
      </c>
      <c r="L25" s="59">
        <v>-5000</v>
      </c>
      <c r="M25" s="59">
        <v>-5000</v>
      </c>
      <c r="N25" s="59">
        <v>-5000</v>
      </c>
      <c r="O25" s="59">
        <v>-5000</v>
      </c>
      <c r="P25" s="59">
        <v>-5000</v>
      </c>
      <c r="Q25" s="59">
        <v>-5000</v>
      </c>
      <c r="R25" s="59">
        <v>-5000</v>
      </c>
      <c r="S25" s="59">
        <v>-5000</v>
      </c>
      <c r="T25" s="59">
        <f t="shared" si="3"/>
        <v>-60000</v>
      </c>
      <c r="U25" s="59"/>
    </row>
    <row r="26" spans="2:21" s="50" customFormat="1">
      <c r="B26" s="56" t="s">
        <v>20</v>
      </c>
      <c r="C26" s="56" t="s">
        <v>270</v>
      </c>
      <c r="D26" s="56" t="s">
        <v>345</v>
      </c>
      <c r="E26" s="55" t="s">
        <v>209</v>
      </c>
      <c r="F26" s="56"/>
      <c r="G26" s="58"/>
      <c r="H26" s="59">
        <v>-150000</v>
      </c>
      <c r="I26" s="59">
        <v>-150000</v>
      </c>
      <c r="J26" s="59">
        <v>-150000</v>
      </c>
      <c r="K26" s="59">
        <v>-150000</v>
      </c>
      <c r="L26" s="59">
        <v>-150000</v>
      </c>
      <c r="M26" s="59">
        <v>-150000</v>
      </c>
      <c r="N26" s="59">
        <v>-150000</v>
      </c>
      <c r="O26" s="59">
        <v>-150000</v>
      </c>
      <c r="P26" s="59">
        <v>-150000</v>
      </c>
      <c r="Q26" s="59">
        <v>-150000</v>
      </c>
      <c r="R26" s="59">
        <v>-150000</v>
      </c>
      <c r="S26" s="59">
        <v>-150000</v>
      </c>
      <c r="T26" s="59">
        <f t="shared" si="3"/>
        <v>-1800000</v>
      </c>
      <c r="U26" s="58"/>
    </row>
    <row r="27" spans="2:21" s="50" customFormat="1">
      <c r="B27" s="158" t="s">
        <v>23</v>
      </c>
      <c r="C27" s="158" t="s">
        <v>24</v>
      </c>
      <c r="D27" s="158" t="s">
        <v>346</v>
      </c>
      <c r="E27" s="167"/>
      <c r="F27" s="158"/>
      <c r="G27" s="165"/>
      <c r="H27" s="160">
        <v>0</v>
      </c>
      <c r="I27" s="160">
        <v>0</v>
      </c>
      <c r="J27" s="160">
        <v>-300</v>
      </c>
      <c r="K27" s="160">
        <v>0</v>
      </c>
      <c r="L27" s="160">
        <v>0</v>
      </c>
      <c r="M27" s="160">
        <v>-300</v>
      </c>
      <c r="N27" s="160">
        <v>0</v>
      </c>
      <c r="O27" s="160">
        <v>0</v>
      </c>
      <c r="P27" s="160">
        <v>-300</v>
      </c>
      <c r="Q27" s="160">
        <v>0</v>
      </c>
      <c r="R27" s="160">
        <v>0</v>
      </c>
      <c r="S27" s="160">
        <v>-300</v>
      </c>
      <c r="T27" s="160">
        <f t="shared" si="3"/>
        <v>-1200</v>
      </c>
      <c r="U27" s="58"/>
    </row>
    <row r="28" spans="2:21">
      <c r="B28" s="56" t="s">
        <v>25</v>
      </c>
      <c r="C28" s="56" t="s">
        <v>44</v>
      </c>
      <c r="D28" s="56" t="s">
        <v>44</v>
      </c>
      <c r="F28" s="56"/>
      <c r="G28" s="58"/>
      <c r="H28" s="59">
        <v>-50000</v>
      </c>
      <c r="I28" s="59">
        <v>-55000</v>
      </c>
      <c r="J28" s="59">
        <v>-55000</v>
      </c>
      <c r="K28" s="59">
        <v>-55000</v>
      </c>
      <c r="L28" s="59">
        <v>-55000</v>
      </c>
      <c r="M28" s="59">
        <v>-55000</v>
      </c>
      <c r="N28" s="59">
        <v>-55000</v>
      </c>
      <c r="O28" s="59">
        <v>-55000</v>
      </c>
      <c r="P28" s="59">
        <v>-55000</v>
      </c>
      <c r="Q28" s="59">
        <v>-55000</v>
      </c>
      <c r="R28" s="59">
        <v>-55000</v>
      </c>
      <c r="S28" s="59">
        <v>-55000</v>
      </c>
      <c r="T28" s="59">
        <f t="shared" si="3"/>
        <v>-655000</v>
      </c>
      <c r="U28" s="59"/>
    </row>
    <row r="29" spans="2:21">
      <c r="B29" s="161" t="s">
        <v>26</v>
      </c>
      <c r="C29" s="161" t="s">
        <v>131</v>
      </c>
      <c r="D29" s="161" t="s">
        <v>347</v>
      </c>
      <c r="E29" s="168"/>
      <c r="F29" s="161"/>
      <c r="G29" s="92"/>
      <c r="H29" s="91">
        <v>0</v>
      </c>
      <c r="I29" s="91">
        <v>0</v>
      </c>
      <c r="J29" s="91">
        <v>0</v>
      </c>
      <c r="K29" s="91">
        <v>0</v>
      </c>
      <c r="L29" s="91">
        <v>0</v>
      </c>
      <c r="M29" s="91">
        <v>0</v>
      </c>
      <c r="N29" s="91">
        <v>-100000</v>
      </c>
      <c r="O29" s="91">
        <v>0</v>
      </c>
      <c r="P29" s="91">
        <v>0</v>
      </c>
      <c r="Q29" s="91">
        <v>0</v>
      </c>
      <c r="R29" s="91">
        <v>0</v>
      </c>
      <c r="S29" s="91">
        <v>0</v>
      </c>
      <c r="T29" s="91">
        <f t="shared" si="3"/>
        <v>-100000</v>
      </c>
      <c r="U29" s="59"/>
    </row>
    <row r="30" spans="2:21">
      <c r="B30" s="162" t="s">
        <v>26</v>
      </c>
      <c r="C30" s="162" t="s">
        <v>230</v>
      </c>
      <c r="D30" s="162" t="s">
        <v>348</v>
      </c>
      <c r="E30" s="169"/>
      <c r="F30" s="162"/>
      <c r="G30" s="163"/>
      <c r="H30" s="116">
        <v>0</v>
      </c>
      <c r="I30" s="116">
        <v>0</v>
      </c>
      <c r="J30" s="116">
        <v>-700</v>
      </c>
      <c r="K30" s="116">
        <v>0</v>
      </c>
      <c r="L30" s="116">
        <v>0</v>
      </c>
      <c r="M30" s="116">
        <v>-700</v>
      </c>
      <c r="N30" s="116">
        <v>0</v>
      </c>
      <c r="O30" s="116">
        <v>0</v>
      </c>
      <c r="P30" s="116">
        <v>-700</v>
      </c>
      <c r="Q30" s="116">
        <v>0</v>
      </c>
      <c r="R30" s="116">
        <v>0</v>
      </c>
      <c r="S30" s="116">
        <v>-700</v>
      </c>
      <c r="T30" s="116">
        <f t="shared" si="3"/>
        <v>-2800</v>
      </c>
      <c r="U30" s="59"/>
    </row>
    <row r="31" spans="2:21">
      <c r="B31" s="164" t="s">
        <v>26</v>
      </c>
      <c r="C31" s="164" t="s">
        <v>58</v>
      </c>
      <c r="D31" s="164" t="s">
        <v>349</v>
      </c>
      <c r="E31" s="170"/>
      <c r="F31" s="164"/>
      <c r="G31" s="73"/>
      <c r="H31" s="72">
        <v>0</v>
      </c>
      <c r="I31" s="72">
        <v>-4300</v>
      </c>
      <c r="J31" s="72">
        <v>0</v>
      </c>
      <c r="K31" s="72">
        <v>-4300</v>
      </c>
      <c r="L31" s="72">
        <v>0</v>
      </c>
      <c r="M31" s="72">
        <v>-4300</v>
      </c>
      <c r="N31" s="72">
        <v>0</v>
      </c>
      <c r="O31" s="72">
        <v>-4300</v>
      </c>
      <c r="P31" s="72">
        <v>0</v>
      </c>
      <c r="Q31" s="72">
        <v>-4300</v>
      </c>
      <c r="R31" s="72">
        <v>0</v>
      </c>
      <c r="S31" s="72">
        <v>-4300</v>
      </c>
      <c r="T31" s="72">
        <f t="shared" si="3"/>
        <v>-25800</v>
      </c>
      <c r="U31" s="59"/>
    </row>
    <row r="32" spans="2:21">
      <c r="B32" s="56" t="s">
        <v>27</v>
      </c>
      <c r="C32" s="56" t="s">
        <v>28</v>
      </c>
      <c r="D32" s="56" t="s">
        <v>350</v>
      </c>
      <c r="E32" s="102" t="s">
        <v>209</v>
      </c>
      <c r="F32" s="65" t="s">
        <v>362</v>
      </c>
      <c r="G32" s="58"/>
      <c r="H32" s="59">
        <v>-58000</v>
      </c>
      <c r="I32" s="59">
        <v>-55000</v>
      </c>
      <c r="J32" s="59">
        <v>-58000</v>
      </c>
      <c r="K32" s="59">
        <v>-50000</v>
      </c>
      <c r="L32" s="59">
        <v>-50000</v>
      </c>
      <c r="M32" s="59">
        <v>-50000</v>
      </c>
      <c r="N32" s="59">
        <v>-50000</v>
      </c>
      <c r="O32" s="59">
        <v>-50000</v>
      </c>
      <c r="P32" s="59">
        <v>-50000</v>
      </c>
      <c r="Q32" s="59">
        <v>-50000</v>
      </c>
      <c r="R32" s="59">
        <v>-58000</v>
      </c>
      <c r="S32" s="59">
        <v>-58000</v>
      </c>
      <c r="T32" s="59">
        <f t="shared" si="3"/>
        <v>-637000</v>
      </c>
      <c r="U32" s="59"/>
    </row>
    <row r="33" spans="2:21">
      <c r="B33" s="56" t="s">
        <v>27</v>
      </c>
      <c r="C33" s="56" t="s">
        <v>62</v>
      </c>
      <c r="D33" s="56" t="s">
        <v>239</v>
      </c>
      <c r="E33" s="102" t="s">
        <v>209</v>
      </c>
      <c r="F33" s="65" t="s">
        <v>362</v>
      </c>
      <c r="G33" s="58"/>
      <c r="H33" s="59">
        <v>0</v>
      </c>
      <c r="I33" s="59">
        <v>0</v>
      </c>
      <c r="J33" s="59">
        <v>-10000</v>
      </c>
      <c r="K33" s="59">
        <v>0</v>
      </c>
      <c r="L33" s="59">
        <v>0</v>
      </c>
      <c r="M33" s="59">
        <v>-10000</v>
      </c>
      <c r="N33" s="59">
        <v>0</v>
      </c>
      <c r="O33" s="59">
        <v>0</v>
      </c>
      <c r="P33" s="59">
        <v>-10000</v>
      </c>
      <c r="Q33" s="59">
        <v>0</v>
      </c>
      <c r="R33" s="59">
        <v>0</v>
      </c>
      <c r="S33" s="59">
        <v>-10000</v>
      </c>
      <c r="T33" s="59">
        <f t="shared" si="3"/>
        <v>-40000</v>
      </c>
      <c r="U33" s="59"/>
    </row>
    <row r="34" spans="2:21">
      <c r="B34" s="56" t="s">
        <v>27</v>
      </c>
      <c r="C34" s="56" t="s">
        <v>112</v>
      </c>
      <c r="D34" s="56" t="s">
        <v>350</v>
      </c>
      <c r="E34" s="102" t="s">
        <v>209</v>
      </c>
      <c r="F34" s="65" t="s">
        <v>362</v>
      </c>
      <c r="G34" s="58"/>
      <c r="H34" s="59">
        <v>-68000</v>
      </c>
      <c r="I34" s="59">
        <v>-65000</v>
      </c>
      <c r="J34" s="59">
        <v>-68000</v>
      </c>
      <c r="K34" s="59">
        <v>-60000</v>
      </c>
      <c r="L34" s="59">
        <v>-60000</v>
      </c>
      <c r="M34" s="59">
        <v>-60000</v>
      </c>
      <c r="N34" s="59">
        <v>-60000</v>
      </c>
      <c r="O34" s="59">
        <v>-60000</v>
      </c>
      <c r="P34" s="59">
        <v>-60000</v>
      </c>
      <c r="Q34" s="59">
        <v>-60000</v>
      </c>
      <c r="R34" s="59">
        <v>-68000</v>
      </c>
      <c r="S34" s="59">
        <v>-68000</v>
      </c>
      <c r="T34" s="59">
        <f t="shared" si="3"/>
        <v>-757000</v>
      </c>
      <c r="U34" s="59"/>
    </row>
    <row r="35" spans="2:21">
      <c r="B35" s="56" t="s">
        <v>27</v>
      </c>
      <c r="C35" s="56" t="s">
        <v>28</v>
      </c>
      <c r="D35" s="56" t="s">
        <v>351</v>
      </c>
      <c r="E35" s="102" t="s">
        <v>209</v>
      </c>
      <c r="F35" s="65" t="s">
        <v>362</v>
      </c>
      <c r="G35" s="58"/>
      <c r="H35" s="59">
        <v>0</v>
      </c>
      <c r="I35" s="59">
        <v>-10000</v>
      </c>
      <c r="J35" s="59">
        <v>0</v>
      </c>
      <c r="K35" s="59">
        <v>-10000</v>
      </c>
      <c r="L35" s="59">
        <v>0</v>
      </c>
      <c r="M35" s="59">
        <v>-10000</v>
      </c>
      <c r="N35" s="59">
        <v>0</v>
      </c>
      <c r="O35" s="59">
        <v>-10000</v>
      </c>
      <c r="P35" s="59">
        <v>0</v>
      </c>
      <c r="Q35" s="59">
        <v>-10000</v>
      </c>
      <c r="R35" s="59">
        <v>0</v>
      </c>
      <c r="S35" s="59">
        <v>-10000</v>
      </c>
      <c r="T35" s="59">
        <f t="shared" si="3"/>
        <v>-60000</v>
      </c>
      <c r="U35" s="59"/>
    </row>
    <row r="36" spans="2:21">
      <c r="B36" s="56" t="s">
        <v>27</v>
      </c>
      <c r="C36" s="56" t="s">
        <v>63</v>
      </c>
      <c r="D36" s="56" t="s">
        <v>352</v>
      </c>
      <c r="E36" s="102" t="s">
        <v>209</v>
      </c>
      <c r="F36" s="56"/>
      <c r="G36" s="58"/>
      <c r="H36" s="59">
        <v>-30000</v>
      </c>
      <c r="I36" s="59">
        <v>-30000</v>
      </c>
      <c r="J36" s="59">
        <v>-30000</v>
      </c>
      <c r="K36" s="59">
        <v>-30000</v>
      </c>
      <c r="L36" s="59">
        <v>-30000</v>
      </c>
      <c r="M36" s="59">
        <v>-30000</v>
      </c>
      <c r="N36" s="59">
        <v>-30000</v>
      </c>
      <c r="O36" s="59">
        <v>-30000</v>
      </c>
      <c r="P36" s="59">
        <v>-30000</v>
      </c>
      <c r="Q36" s="59">
        <v>-30000</v>
      </c>
      <c r="R36" s="59">
        <v>-30000</v>
      </c>
      <c r="S36" s="59">
        <v>-30000</v>
      </c>
      <c r="T36" s="59">
        <f t="shared" si="3"/>
        <v>-360000</v>
      </c>
      <c r="U36" s="59"/>
    </row>
    <row r="37" spans="2:21">
      <c r="B37" s="56" t="s">
        <v>27</v>
      </c>
      <c r="C37" s="56" t="s">
        <v>129</v>
      </c>
      <c r="D37" s="56" t="s">
        <v>353</v>
      </c>
      <c r="F37" s="56"/>
      <c r="G37" s="58"/>
      <c r="H37" s="59">
        <v>-20000</v>
      </c>
      <c r="I37" s="59">
        <v>0</v>
      </c>
      <c r="J37" s="59">
        <v>-20000</v>
      </c>
      <c r="K37" s="59">
        <v>0</v>
      </c>
      <c r="L37" s="59">
        <v>-20000</v>
      </c>
      <c r="M37" s="59">
        <v>0</v>
      </c>
      <c r="N37" s="59">
        <v>-20000</v>
      </c>
      <c r="O37" s="59">
        <v>0</v>
      </c>
      <c r="P37" s="59">
        <v>-20000</v>
      </c>
      <c r="Q37" s="59">
        <v>0</v>
      </c>
      <c r="R37" s="59">
        <v>-20000</v>
      </c>
      <c r="S37" s="59">
        <v>0</v>
      </c>
      <c r="T37" s="59">
        <f t="shared" si="3"/>
        <v>-120000</v>
      </c>
      <c r="U37" s="59"/>
    </row>
    <row r="38" spans="2:21">
      <c r="B38" s="56" t="s">
        <v>27</v>
      </c>
      <c r="C38" s="56" t="s">
        <v>63</v>
      </c>
      <c r="D38" s="56" t="s">
        <v>354</v>
      </c>
      <c r="E38" s="102" t="s">
        <v>209</v>
      </c>
      <c r="F38" s="56"/>
      <c r="G38" s="58"/>
      <c r="H38" s="59">
        <v>-5000</v>
      </c>
      <c r="I38" s="59">
        <v>-5000</v>
      </c>
      <c r="J38" s="59">
        <v>-5000</v>
      </c>
      <c r="K38" s="59">
        <v>-5000</v>
      </c>
      <c r="L38" s="59">
        <v>-5000</v>
      </c>
      <c r="M38" s="59">
        <v>-5000</v>
      </c>
      <c r="N38" s="59">
        <v>-5000</v>
      </c>
      <c r="O38" s="59">
        <v>-5000</v>
      </c>
      <c r="P38" s="59">
        <v>-5000</v>
      </c>
      <c r="Q38" s="59">
        <v>-5000</v>
      </c>
      <c r="R38" s="59">
        <v>-5000</v>
      </c>
      <c r="S38" s="59">
        <v>-5000</v>
      </c>
      <c r="T38" s="59">
        <f t="shared" si="3"/>
        <v>-60000</v>
      </c>
      <c r="U38" s="59"/>
    </row>
    <row r="39" spans="2:21">
      <c r="B39" s="56" t="s">
        <v>27</v>
      </c>
      <c r="C39" s="56" t="s">
        <v>16</v>
      </c>
      <c r="D39" s="56" t="s">
        <v>355</v>
      </c>
      <c r="F39" s="56"/>
      <c r="G39" s="58"/>
      <c r="H39" s="59">
        <v>-5000</v>
      </c>
      <c r="I39" s="59">
        <v>0</v>
      </c>
      <c r="J39" s="59">
        <v>0</v>
      </c>
      <c r="K39" s="59">
        <v>-5000</v>
      </c>
      <c r="L39" s="59">
        <v>0</v>
      </c>
      <c r="M39" s="59">
        <v>0</v>
      </c>
      <c r="N39" s="59">
        <v>-5000</v>
      </c>
      <c r="O39" s="59">
        <v>0</v>
      </c>
      <c r="P39" s="59">
        <v>-5000</v>
      </c>
      <c r="Q39" s="59">
        <v>0</v>
      </c>
      <c r="R39" s="59">
        <v>-5000</v>
      </c>
      <c r="S39" s="59">
        <v>0</v>
      </c>
      <c r="T39" s="59">
        <f t="shared" si="3"/>
        <v>-25000</v>
      </c>
      <c r="U39" s="59"/>
    </row>
    <row r="40" spans="2:21">
      <c r="B40" s="158" t="s">
        <v>22</v>
      </c>
      <c r="C40" s="158" t="s">
        <v>38</v>
      </c>
      <c r="D40" s="158" t="s">
        <v>6</v>
      </c>
      <c r="E40" s="167"/>
      <c r="F40" s="158"/>
      <c r="G40" s="165"/>
      <c r="H40" s="160">
        <v>-1200</v>
      </c>
      <c r="I40" s="160">
        <v>-1200</v>
      </c>
      <c r="J40" s="160">
        <v>-1200</v>
      </c>
      <c r="K40" s="160">
        <v>-1200</v>
      </c>
      <c r="L40" s="160">
        <v>-1200</v>
      </c>
      <c r="M40" s="160">
        <v>-1200</v>
      </c>
      <c r="N40" s="160">
        <v>-1200</v>
      </c>
      <c r="O40" s="160">
        <v>-1200</v>
      </c>
      <c r="P40" s="160">
        <v>-1200</v>
      </c>
      <c r="Q40" s="160">
        <v>-1200</v>
      </c>
      <c r="R40" s="160">
        <v>-1200</v>
      </c>
      <c r="S40" s="160">
        <v>-1200</v>
      </c>
      <c r="T40" s="160">
        <f t="shared" si="3"/>
        <v>-14400</v>
      </c>
      <c r="U40" s="59"/>
    </row>
    <row r="41" spans="2:21">
      <c r="B41" s="56" t="s">
        <v>36</v>
      </c>
      <c r="C41" s="56" t="s">
        <v>29</v>
      </c>
      <c r="D41" s="56" t="s">
        <v>65</v>
      </c>
      <c r="F41" s="56"/>
      <c r="G41" s="58"/>
      <c r="H41" s="59">
        <v>-2500</v>
      </c>
      <c r="I41" s="59">
        <v>-2500</v>
      </c>
      <c r="J41" s="59">
        <v>-2500</v>
      </c>
      <c r="K41" s="59">
        <v>-2500</v>
      </c>
      <c r="L41" s="59">
        <v>-2500</v>
      </c>
      <c r="M41" s="59">
        <v>-2500</v>
      </c>
      <c r="N41" s="59">
        <v>-2500</v>
      </c>
      <c r="O41" s="59">
        <v>-2500</v>
      </c>
      <c r="P41" s="59">
        <v>-2500</v>
      </c>
      <c r="Q41" s="59">
        <v>-2500</v>
      </c>
      <c r="R41" s="59">
        <v>-2500</v>
      </c>
      <c r="S41" s="59">
        <v>-2500</v>
      </c>
      <c r="T41" s="59">
        <f t="shared" si="3"/>
        <v>-30000</v>
      </c>
      <c r="U41" s="59"/>
    </row>
    <row r="42" spans="2:21">
      <c r="B42" s="56" t="s">
        <v>36</v>
      </c>
      <c r="C42" s="56" t="s">
        <v>254</v>
      </c>
      <c r="D42" s="56" t="s">
        <v>222</v>
      </c>
      <c r="F42" s="56"/>
      <c r="G42" s="58"/>
      <c r="H42" s="59">
        <v>-100</v>
      </c>
      <c r="I42" s="59">
        <v>-100</v>
      </c>
      <c r="J42" s="59">
        <v>-100</v>
      </c>
      <c r="K42" s="59">
        <v>-100</v>
      </c>
      <c r="L42" s="59">
        <v>-100</v>
      </c>
      <c r="M42" s="59">
        <v>-100</v>
      </c>
      <c r="N42" s="59">
        <v>-100</v>
      </c>
      <c r="O42" s="59">
        <v>-100</v>
      </c>
      <c r="P42" s="59">
        <v>-100</v>
      </c>
      <c r="Q42" s="59">
        <v>-100</v>
      </c>
      <c r="R42" s="59">
        <v>-100</v>
      </c>
      <c r="S42" s="59">
        <v>-100</v>
      </c>
      <c r="T42" s="59">
        <f t="shared" si="3"/>
        <v>-1200</v>
      </c>
      <c r="U42" s="59"/>
    </row>
    <row r="43" spans="2:21">
      <c r="B43" s="56" t="s">
        <v>36</v>
      </c>
      <c r="C43" s="56" t="s">
        <v>37</v>
      </c>
      <c r="D43" s="56" t="s">
        <v>356</v>
      </c>
      <c r="F43" s="56"/>
      <c r="G43" s="58"/>
      <c r="H43" s="59">
        <v>-11804</v>
      </c>
      <c r="I43" s="59">
        <v>-11880</v>
      </c>
      <c r="J43" s="59">
        <v>-11956</v>
      </c>
      <c r="K43" s="59">
        <v>-12035</v>
      </c>
      <c r="L43" s="59">
        <v>-12284</v>
      </c>
      <c r="M43" s="59">
        <v>-12436</v>
      </c>
      <c r="N43" s="59">
        <v>-12412</v>
      </c>
      <c r="O43" s="59">
        <v>-13192</v>
      </c>
      <c r="P43" s="59">
        <v>-13396</v>
      </c>
      <c r="Q43" s="59">
        <v>-13524</v>
      </c>
      <c r="R43" s="59">
        <v>-13928</v>
      </c>
      <c r="S43" s="59">
        <v>-14584</v>
      </c>
      <c r="T43" s="59">
        <f t="shared" si="3"/>
        <v>-153431</v>
      </c>
      <c r="U43" s="59"/>
    </row>
    <row r="44" spans="2:21">
      <c r="B44" s="56" t="s">
        <v>36</v>
      </c>
      <c r="C44" s="56" t="s">
        <v>275</v>
      </c>
      <c r="D44" s="56" t="s">
        <v>357</v>
      </c>
      <c r="F44" s="56"/>
      <c r="G44" s="58"/>
      <c r="H44" s="59">
        <v>0</v>
      </c>
      <c r="I44" s="59">
        <v>0</v>
      </c>
      <c r="J44" s="59">
        <v>-6000</v>
      </c>
      <c r="K44" s="59">
        <v>0</v>
      </c>
      <c r="L44" s="59">
        <v>0</v>
      </c>
      <c r="M44" s="59">
        <v>-6000</v>
      </c>
      <c r="N44" s="59">
        <v>0</v>
      </c>
      <c r="O44" s="59">
        <v>0</v>
      </c>
      <c r="P44" s="59">
        <v>-6000</v>
      </c>
      <c r="Q44" s="59">
        <v>0</v>
      </c>
      <c r="R44" s="59">
        <v>0</v>
      </c>
      <c r="S44" s="59">
        <v>-6000</v>
      </c>
      <c r="T44" s="59">
        <f t="shared" si="3"/>
        <v>-24000</v>
      </c>
      <c r="U44" s="59"/>
    </row>
    <row r="45" spans="2:21" ht="14.55" customHeight="1">
      <c r="B45" s="161" t="s">
        <v>32</v>
      </c>
      <c r="C45" s="161" t="s">
        <v>272</v>
      </c>
      <c r="D45" s="161" t="s">
        <v>358</v>
      </c>
      <c r="E45" s="168"/>
      <c r="F45" s="161"/>
      <c r="G45" s="166"/>
      <c r="H45" s="91">
        <v>0</v>
      </c>
      <c r="I45" s="91">
        <v>0</v>
      </c>
      <c r="J45" s="91">
        <v>0</v>
      </c>
      <c r="K45" s="91">
        <v>0</v>
      </c>
      <c r="L45" s="91">
        <v>0</v>
      </c>
      <c r="M45" s="91">
        <v>-10000</v>
      </c>
      <c r="N45" s="91">
        <v>0</v>
      </c>
      <c r="O45" s="91">
        <v>0</v>
      </c>
      <c r="P45" s="91">
        <v>0</v>
      </c>
      <c r="Q45" s="91">
        <v>0</v>
      </c>
      <c r="R45" s="91">
        <v>0</v>
      </c>
      <c r="S45" s="91">
        <v>-10000</v>
      </c>
      <c r="T45" s="91">
        <f t="shared" si="3"/>
        <v>-20000</v>
      </c>
      <c r="U45" s="59"/>
    </row>
    <row r="46" spans="2:21" ht="14.55" customHeight="1">
      <c r="B46" s="56" t="s">
        <v>32</v>
      </c>
      <c r="C46" s="56" t="s">
        <v>244</v>
      </c>
      <c r="D46" s="56" t="s">
        <v>245</v>
      </c>
      <c r="F46" s="56"/>
      <c r="G46" s="68"/>
      <c r="H46" s="59">
        <v>0</v>
      </c>
      <c r="I46" s="59">
        <v>0</v>
      </c>
      <c r="J46" s="59">
        <v>0</v>
      </c>
      <c r="K46" s="59">
        <v>0</v>
      </c>
      <c r="L46" s="59">
        <v>0</v>
      </c>
      <c r="M46" s="59">
        <v>-6000</v>
      </c>
      <c r="N46" s="59">
        <v>0</v>
      </c>
      <c r="O46" s="59">
        <v>0</v>
      </c>
      <c r="P46" s="59">
        <v>0</v>
      </c>
      <c r="Q46" s="59">
        <v>0</v>
      </c>
      <c r="R46" s="59">
        <v>0</v>
      </c>
      <c r="S46" s="59">
        <v>-6000</v>
      </c>
      <c r="T46" s="59">
        <f t="shared" si="3"/>
        <v>-12000</v>
      </c>
      <c r="U46" s="59"/>
    </row>
    <row r="47" spans="2:21" ht="14.55" customHeight="1">
      <c r="B47" s="56" t="s">
        <v>32</v>
      </c>
      <c r="C47" s="56" t="s">
        <v>244</v>
      </c>
      <c r="D47" s="56" t="s">
        <v>108</v>
      </c>
      <c r="F47" s="56"/>
      <c r="G47" s="68"/>
      <c r="H47" s="59">
        <v>-1500</v>
      </c>
      <c r="I47" s="59">
        <v>-1500</v>
      </c>
      <c r="J47" s="59">
        <v>-1500</v>
      </c>
      <c r="K47" s="59">
        <v>-1500</v>
      </c>
      <c r="L47" s="59">
        <v>-1500</v>
      </c>
      <c r="M47" s="59">
        <v>-1500</v>
      </c>
      <c r="N47" s="59">
        <v>-1500</v>
      </c>
      <c r="O47" s="59">
        <v>-1500</v>
      </c>
      <c r="P47" s="59">
        <v>-1500</v>
      </c>
      <c r="Q47" s="59">
        <v>-1500</v>
      </c>
      <c r="R47" s="59">
        <v>-1500</v>
      </c>
      <c r="S47" s="59">
        <v>-1500</v>
      </c>
      <c r="T47" s="59">
        <f t="shared" si="3"/>
        <v>-18000</v>
      </c>
      <c r="U47" s="59"/>
    </row>
    <row r="48" spans="2:21" ht="14.55" customHeight="1">
      <c r="B48" s="56" t="s">
        <v>32</v>
      </c>
      <c r="C48" s="56" t="s">
        <v>244</v>
      </c>
      <c r="D48" s="56" t="s">
        <v>246</v>
      </c>
      <c r="F48" s="56"/>
      <c r="G48" s="68"/>
      <c r="H48" s="59">
        <v>0</v>
      </c>
      <c r="I48" s="59">
        <v>0</v>
      </c>
      <c r="J48" s="59">
        <v>0</v>
      </c>
      <c r="K48" s="59">
        <v>0</v>
      </c>
      <c r="L48" s="59">
        <v>0</v>
      </c>
      <c r="M48" s="59">
        <v>-5000</v>
      </c>
      <c r="N48" s="59">
        <v>0</v>
      </c>
      <c r="O48" s="59">
        <v>0</v>
      </c>
      <c r="P48" s="59">
        <v>0</v>
      </c>
      <c r="Q48" s="59">
        <v>0</v>
      </c>
      <c r="R48" s="59">
        <v>0</v>
      </c>
      <c r="S48" s="59">
        <v>-3000</v>
      </c>
      <c r="T48" s="59">
        <f t="shared" si="3"/>
        <v>-8000</v>
      </c>
      <c r="U48" s="59"/>
    </row>
    <row r="49" spans="2:21" ht="14.55" customHeight="1">
      <c r="B49" s="56" t="s">
        <v>32</v>
      </c>
      <c r="C49" s="56" t="s">
        <v>278</v>
      </c>
      <c r="D49" s="56" t="s">
        <v>248</v>
      </c>
      <c r="F49" s="56"/>
      <c r="G49" s="68"/>
      <c r="H49" s="59">
        <v>0</v>
      </c>
      <c r="I49" s="59">
        <v>0</v>
      </c>
      <c r="J49" s="59">
        <v>0</v>
      </c>
      <c r="K49" s="59">
        <v>0</v>
      </c>
      <c r="L49" s="59">
        <v>0</v>
      </c>
      <c r="M49" s="59">
        <v>-300</v>
      </c>
      <c r="N49" s="59">
        <v>0</v>
      </c>
      <c r="O49" s="59">
        <v>0</v>
      </c>
      <c r="P49" s="59">
        <v>0</v>
      </c>
      <c r="Q49" s="59">
        <v>0</v>
      </c>
      <c r="R49" s="59">
        <v>0</v>
      </c>
      <c r="S49" s="59">
        <v>0</v>
      </c>
      <c r="T49" s="59">
        <f t="shared" si="3"/>
        <v>-300</v>
      </c>
      <c r="U49" s="59"/>
    </row>
    <row r="50" spans="2:21" ht="15.05" customHeight="1">
      <c r="B50" s="56" t="s">
        <v>32</v>
      </c>
      <c r="C50" s="56" t="s">
        <v>279</v>
      </c>
      <c r="D50" s="56" t="s">
        <v>359</v>
      </c>
      <c r="F50" s="56"/>
      <c r="G50" s="68"/>
      <c r="H50" s="59">
        <v>-6700</v>
      </c>
      <c r="I50" s="59">
        <v>-6780</v>
      </c>
      <c r="J50" s="59">
        <v>-6860</v>
      </c>
      <c r="K50" s="59">
        <v>-6940</v>
      </c>
      <c r="L50" s="59">
        <v>-7020</v>
      </c>
      <c r="M50" s="59">
        <v>-7100</v>
      </c>
      <c r="N50" s="59">
        <v>-7180</v>
      </c>
      <c r="O50" s="59">
        <v>-7260</v>
      </c>
      <c r="P50" s="59">
        <v>-7340</v>
      </c>
      <c r="Q50" s="59">
        <v>-7420</v>
      </c>
      <c r="R50" s="59">
        <v>-7500</v>
      </c>
      <c r="S50" s="59">
        <v>-7580</v>
      </c>
      <c r="T50" s="59">
        <f t="shared" si="3"/>
        <v>-85680</v>
      </c>
      <c r="U50" s="59"/>
    </row>
    <row r="51" spans="2:21" ht="15.05" customHeight="1">
      <c r="B51" s="56" t="s">
        <v>32</v>
      </c>
      <c r="C51" s="56" t="s">
        <v>130</v>
      </c>
      <c r="D51" s="56" t="s">
        <v>247</v>
      </c>
      <c r="F51" s="56"/>
      <c r="G51" s="68"/>
      <c r="H51" s="59">
        <v>-125</v>
      </c>
      <c r="I51" s="59">
        <v>-125</v>
      </c>
      <c r="J51" s="59">
        <v>-125</v>
      </c>
      <c r="K51" s="59">
        <v>-125</v>
      </c>
      <c r="L51" s="59">
        <v>-125</v>
      </c>
      <c r="M51" s="59">
        <v>-125</v>
      </c>
      <c r="N51" s="59">
        <v>-125</v>
      </c>
      <c r="O51" s="59">
        <v>-125</v>
      </c>
      <c r="P51" s="59">
        <v>-125</v>
      </c>
      <c r="Q51" s="59">
        <v>-125</v>
      </c>
      <c r="R51" s="59">
        <v>-125</v>
      </c>
      <c r="S51" s="59">
        <v>-125</v>
      </c>
      <c r="T51" s="59">
        <f t="shared" si="3"/>
        <v>-1500</v>
      </c>
      <c r="U51" s="59"/>
    </row>
    <row r="52" spans="2:21" ht="14.55" customHeight="1">
      <c r="B52" s="56" t="s">
        <v>32</v>
      </c>
      <c r="C52" s="56"/>
      <c r="D52" s="56" t="s">
        <v>360</v>
      </c>
      <c r="F52" s="56"/>
      <c r="G52" s="68"/>
      <c r="H52" s="59">
        <v>0</v>
      </c>
      <c r="I52" s="59">
        <v>0</v>
      </c>
      <c r="J52" s="59">
        <v>0</v>
      </c>
      <c r="K52" s="59">
        <v>0</v>
      </c>
      <c r="L52" s="59">
        <v>0</v>
      </c>
      <c r="M52" s="59">
        <v>-3000</v>
      </c>
      <c r="N52" s="59">
        <v>-3000</v>
      </c>
      <c r="O52" s="59">
        <v>-3000</v>
      </c>
      <c r="P52" s="59">
        <v>0</v>
      </c>
      <c r="Q52" s="59">
        <v>0</v>
      </c>
      <c r="R52" s="59">
        <v>0</v>
      </c>
      <c r="S52" s="59">
        <v>0</v>
      </c>
      <c r="T52" s="59">
        <f t="shared" si="3"/>
        <v>-9000</v>
      </c>
      <c r="U52" s="59"/>
    </row>
    <row r="53" spans="2:21">
      <c r="B53" s="61" t="s">
        <v>54</v>
      </c>
      <c r="C53" s="61"/>
      <c r="D53" s="61"/>
      <c r="E53" s="101"/>
      <c r="F53" s="61"/>
      <c r="G53" s="63"/>
      <c r="H53" s="64">
        <f t="shared" ref="H53:U53" si="4">SUM(H9:H52)</f>
        <v>-486849</v>
      </c>
      <c r="I53" s="64">
        <f t="shared" si="4"/>
        <v>-473945</v>
      </c>
      <c r="J53" s="64">
        <f t="shared" si="4"/>
        <v>-575941</v>
      </c>
      <c r="K53" s="64">
        <f t="shared" si="4"/>
        <v>-471040</v>
      </c>
      <c r="L53" s="64">
        <f t="shared" si="4"/>
        <v>-485709</v>
      </c>
      <c r="M53" s="64">
        <f t="shared" si="4"/>
        <v>-524681</v>
      </c>
      <c r="N53" s="64">
        <f t="shared" si="4"/>
        <v>-665777</v>
      </c>
      <c r="O53" s="64">
        <f t="shared" si="4"/>
        <v>-469577</v>
      </c>
      <c r="P53" s="64">
        <f t="shared" si="4"/>
        <v>-498251</v>
      </c>
      <c r="Q53" s="64">
        <f t="shared" si="4"/>
        <v>-468849</v>
      </c>
      <c r="R53" s="64">
        <f t="shared" si="4"/>
        <v>-494673</v>
      </c>
      <c r="S53" s="64">
        <f t="shared" si="4"/>
        <v>-590849</v>
      </c>
      <c r="T53" s="64">
        <f t="shared" si="4"/>
        <v>-6206141</v>
      </c>
      <c r="U53" s="64">
        <f t="shared" si="4"/>
        <v>0</v>
      </c>
    </row>
    <row r="54" spans="2:21">
      <c r="B54" s="56" t="s">
        <v>36</v>
      </c>
      <c r="C54" s="56" t="s">
        <v>46</v>
      </c>
      <c r="D54" s="43"/>
      <c r="G54" s="58"/>
      <c r="H54" s="59">
        <f t="shared" ref="H54:S54" si="5">-(H53+H7)</f>
        <v>208551.35597099568</v>
      </c>
      <c r="I54" s="59">
        <f t="shared" si="5"/>
        <v>218966.88636029602</v>
      </c>
      <c r="J54" s="59">
        <f t="shared" si="5"/>
        <v>298491.27420089144</v>
      </c>
      <c r="K54" s="59">
        <f t="shared" si="5"/>
        <v>199529.54241266038</v>
      </c>
      <c r="L54" s="59">
        <f t="shared" si="5"/>
        <v>195078.45045428723</v>
      </c>
      <c r="M54" s="59">
        <f t="shared" si="5"/>
        <v>246400.40597180458</v>
      </c>
      <c r="N54" s="59">
        <f t="shared" si="5"/>
        <v>124484.73156235879</v>
      </c>
      <c r="O54" s="59">
        <f t="shared" si="5"/>
        <v>-103962.10244058166</v>
      </c>
      <c r="P54" s="59">
        <f t="shared" si="5"/>
        <v>-41218.964913652162</v>
      </c>
      <c r="Q54" s="59">
        <f t="shared" si="5"/>
        <v>-119870.05831190723</v>
      </c>
      <c r="R54" s="59">
        <f t="shared" si="5"/>
        <v>-72722.898125546984</v>
      </c>
      <c r="S54" s="59">
        <f t="shared" si="5"/>
        <v>-39760.474981211009</v>
      </c>
      <c r="T54" s="59">
        <f t="shared" ref="T54:T58" si="6">SUM(H54:N54)</f>
        <v>1491502.6469332941</v>
      </c>
      <c r="U54" s="59"/>
    </row>
    <row r="55" spans="2:21">
      <c r="B55" s="49" t="s">
        <v>50</v>
      </c>
      <c r="C55" s="43"/>
      <c r="D55" s="43"/>
      <c r="E55" s="106"/>
      <c r="F55" s="43"/>
      <c r="G55" s="58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>
        <f t="shared" si="6"/>
        <v>0</v>
      </c>
      <c r="U55" s="59"/>
    </row>
    <row r="56" spans="2:21">
      <c r="C56" s="43"/>
      <c r="D56" s="43"/>
      <c r="E56" s="106"/>
      <c r="F56" s="43"/>
      <c r="G56" s="58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</row>
    <row r="57" spans="2:21" ht="9" customHeight="1">
      <c r="G57" s="58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</row>
    <row r="58" spans="2:21">
      <c r="B58" s="60" t="s">
        <v>249</v>
      </c>
      <c r="C58" s="61"/>
      <c r="D58" s="61"/>
      <c r="E58" s="101"/>
      <c r="F58" s="61"/>
      <c r="G58" s="63"/>
      <c r="H58" s="42">
        <f t="shared" ref="H58:S58" si="7">SUM(H7,H53)</f>
        <v>-208551.35597099568</v>
      </c>
      <c r="I58" s="42">
        <f t="shared" si="7"/>
        <v>-218966.88636029602</v>
      </c>
      <c r="J58" s="42">
        <f t="shared" si="7"/>
        <v>-298491.27420089144</v>
      </c>
      <c r="K58" s="42">
        <f t="shared" si="7"/>
        <v>-199529.54241266038</v>
      </c>
      <c r="L58" s="42">
        <f t="shared" si="7"/>
        <v>-195078.45045428723</v>
      </c>
      <c r="M58" s="42">
        <f t="shared" si="7"/>
        <v>-246400.40597180458</v>
      </c>
      <c r="N58" s="42">
        <f t="shared" si="7"/>
        <v>-124484.73156235879</v>
      </c>
      <c r="O58" s="42">
        <f t="shared" si="7"/>
        <v>103962.10244058166</v>
      </c>
      <c r="P58" s="42">
        <f t="shared" si="7"/>
        <v>41218.964913652162</v>
      </c>
      <c r="Q58" s="42">
        <f t="shared" si="7"/>
        <v>119870.05831190723</v>
      </c>
      <c r="R58" s="42">
        <f t="shared" si="7"/>
        <v>72722.898125546984</v>
      </c>
      <c r="S58" s="42">
        <f t="shared" si="7"/>
        <v>39760.474981211009</v>
      </c>
      <c r="T58" s="42">
        <f t="shared" si="6"/>
        <v>-1491502.6469332941</v>
      </c>
      <c r="U58" s="42"/>
    </row>
    <row r="108" spans="2:26">
      <c r="B108" s="60" t="s">
        <v>209</v>
      </c>
      <c r="C108" s="61"/>
      <c r="D108" s="61"/>
      <c r="E108" s="101"/>
      <c r="F108" s="61"/>
      <c r="G108" s="63"/>
      <c r="H108" s="42">
        <f t="shared" ref="H108:S108" si="8">SUMIF($E$8:$E$57,$B108,H$8:H$57)</f>
        <v>-322000</v>
      </c>
      <c r="I108" s="42">
        <f t="shared" si="8"/>
        <v>-326000</v>
      </c>
      <c r="J108" s="42">
        <f t="shared" si="8"/>
        <v>-332000</v>
      </c>
      <c r="K108" s="42">
        <f t="shared" si="8"/>
        <v>-316000</v>
      </c>
      <c r="L108" s="42">
        <f t="shared" si="8"/>
        <v>-306000</v>
      </c>
      <c r="M108" s="42">
        <f t="shared" si="8"/>
        <v>-326000</v>
      </c>
      <c r="N108" s="42">
        <f t="shared" si="8"/>
        <v>-306000</v>
      </c>
      <c r="O108" s="42">
        <f t="shared" si="8"/>
        <v>-316000</v>
      </c>
      <c r="P108" s="42">
        <f t="shared" si="8"/>
        <v>-316000</v>
      </c>
      <c r="Q108" s="42">
        <f t="shared" si="8"/>
        <v>-316000</v>
      </c>
      <c r="R108" s="42">
        <f t="shared" si="8"/>
        <v>-322000</v>
      </c>
      <c r="S108" s="42">
        <f t="shared" si="8"/>
        <v>-342000</v>
      </c>
      <c r="T108" s="42">
        <f t="shared" ref="T108:T109" si="9">SUM(H108:S108)</f>
        <v>-3846000</v>
      </c>
      <c r="U108" s="42">
        <f>SUMIF($E$8:$E$57,$B108,U$8:U$57)</f>
        <v>0</v>
      </c>
    </row>
    <row r="109" spans="2:26">
      <c r="B109" s="60" t="s">
        <v>375</v>
      </c>
      <c r="C109" s="61"/>
      <c r="D109" s="61"/>
      <c r="E109" s="101"/>
      <c r="F109" s="61"/>
      <c r="G109" s="63"/>
      <c r="H109" s="42">
        <f t="shared" ref="H109:S109" si="10">H53-H108</f>
        <v>-164849</v>
      </c>
      <c r="I109" s="42">
        <f t="shared" si="10"/>
        <v>-147945</v>
      </c>
      <c r="J109" s="42">
        <f t="shared" si="10"/>
        <v>-243941</v>
      </c>
      <c r="K109" s="42">
        <f t="shared" si="10"/>
        <v>-155040</v>
      </c>
      <c r="L109" s="42">
        <f t="shared" si="10"/>
        <v>-179709</v>
      </c>
      <c r="M109" s="42">
        <f t="shared" si="10"/>
        <v>-198681</v>
      </c>
      <c r="N109" s="42">
        <f t="shared" si="10"/>
        <v>-359777</v>
      </c>
      <c r="O109" s="42">
        <f t="shared" si="10"/>
        <v>-153577</v>
      </c>
      <c r="P109" s="42">
        <f t="shared" si="10"/>
        <v>-182251</v>
      </c>
      <c r="Q109" s="42">
        <f t="shared" si="10"/>
        <v>-152849</v>
      </c>
      <c r="R109" s="42">
        <f t="shared" si="10"/>
        <v>-172673</v>
      </c>
      <c r="S109" s="42">
        <f t="shared" si="10"/>
        <v>-248849</v>
      </c>
      <c r="T109" s="42">
        <f t="shared" si="9"/>
        <v>-2360141</v>
      </c>
      <c r="U109" s="42">
        <f>U53-U108</f>
        <v>0</v>
      </c>
    </row>
    <row r="110" spans="2:26" ht="6.05" customHeight="1"/>
    <row r="111" spans="2:26">
      <c r="B111" s="60" t="s">
        <v>362</v>
      </c>
      <c r="C111" s="61"/>
      <c r="D111" s="61"/>
      <c r="E111" s="101"/>
      <c r="F111" s="61"/>
      <c r="G111" s="63"/>
      <c r="H111" s="42">
        <f t="shared" ref="H111:S111" si="11">SUMIF($F$8:$F$57,$B111,H$8:H$57)</f>
        <v>-126000</v>
      </c>
      <c r="I111" s="42">
        <f t="shared" si="11"/>
        <v>-130000</v>
      </c>
      <c r="J111" s="42">
        <f t="shared" si="11"/>
        <v>-136000</v>
      </c>
      <c r="K111" s="42">
        <f t="shared" si="11"/>
        <v>-120000</v>
      </c>
      <c r="L111" s="42">
        <f t="shared" si="11"/>
        <v>-110000</v>
      </c>
      <c r="M111" s="42">
        <f t="shared" si="11"/>
        <v>-130000</v>
      </c>
      <c r="N111" s="42">
        <f t="shared" si="11"/>
        <v>-110000</v>
      </c>
      <c r="O111" s="42">
        <f t="shared" si="11"/>
        <v>-120000</v>
      </c>
      <c r="P111" s="42">
        <f t="shared" si="11"/>
        <v>-120000</v>
      </c>
      <c r="Q111" s="42">
        <f t="shared" si="11"/>
        <v>-120000</v>
      </c>
      <c r="R111" s="42">
        <f t="shared" si="11"/>
        <v>-126000</v>
      </c>
      <c r="S111" s="42">
        <f t="shared" si="11"/>
        <v>-146000</v>
      </c>
      <c r="T111" s="42">
        <f t="shared" ref="T111" si="12">SUM(H111:S111)</f>
        <v>-1494000</v>
      </c>
      <c r="U111" s="42">
        <f>SUMIF($F$8:$F$57,$B111,U$8:U$57)</f>
        <v>0</v>
      </c>
    </row>
    <row r="112" spans="2:26" s="51" customFormat="1">
      <c r="B112" s="49"/>
      <c r="C112" s="49"/>
      <c r="D112" s="49"/>
      <c r="E112" s="55"/>
      <c r="F112" s="49"/>
      <c r="G112" s="50"/>
      <c r="H112" s="49"/>
      <c r="I112" s="49"/>
      <c r="J112" s="49"/>
      <c r="K112" s="81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spans="11:11" ht="15.6">
      <c r="K113" s="82"/>
    </row>
    <row r="114" spans="11:11">
      <c r="K114" s="81"/>
    </row>
    <row r="115" spans="11:11">
      <c r="K115" s="59"/>
    </row>
  </sheetData>
  <mergeCells count="6">
    <mergeCell ref="H2:S2"/>
    <mergeCell ref="F2:F3"/>
    <mergeCell ref="D2:D3"/>
    <mergeCell ref="B2:B3"/>
    <mergeCell ref="C2:C3"/>
    <mergeCell ref="E2:E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Marketing Fund 2022</vt:lpstr>
      <vt:lpstr>Marketing Fund 2023</vt:lpstr>
      <vt:lpstr>Marketing Fund 2024</vt:lpstr>
      <vt:lpstr>Marketing Fund 2025</vt:lpstr>
      <vt:lpstr>Marketing Fund 2026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2026-02-18T05:48:18Z</dcterms:created>
  <dcterms:modified xsi:type="dcterms:W3CDTF">2026-02-18T05:48:50Z</dcterms:modified>
</cp:coreProperties>
</file>